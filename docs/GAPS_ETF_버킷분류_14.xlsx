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버킷분류" sheetId="1" state="visible" r:id="rId3"/>
    <sheet name="버킷요약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<sst xmlns="http://schemas.openxmlformats.org/spreadsheetml/2006/main" count="1592" uniqueCount="591">
  <si>
    <t xml:space="preserve">진영</t>
  </si>
  <si>
    <t xml:space="preserve">버킷</t>
  </si>
  <si>
    <t xml:space="preserve">버킷명</t>
  </si>
  <si>
    <t xml:space="preserve">티커</t>
  </si>
  <si>
    <r>
      <rPr>
        <b val="true"/>
        <sz val="11"/>
        <color rgb="FFFFFFFF"/>
        <rFont val="Arial"/>
        <family val="0"/>
        <charset val="1"/>
      </rPr>
      <t xml:space="preserve">ETF</t>
    </r>
    <r>
      <rPr>
        <b val="true"/>
        <sz val="11"/>
        <color rgb="FFFFFFFF"/>
        <rFont val="Noto Sans CJK SC"/>
        <family val="2"/>
      </rPr>
      <t xml:space="preserve">명</t>
    </r>
  </si>
  <si>
    <r>
      <rPr>
        <b val="true"/>
        <sz val="11"/>
        <color rgb="FFFFFFFF"/>
        <rFont val="Arial"/>
        <family val="0"/>
        <charset val="1"/>
      </rPr>
      <t xml:space="preserve">AUM(</t>
    </r>
    <r>
      <rPr>
        <b val="true"/>
        <sz val="11"/>
        <color rgb="FFFFFFFF"/>
        <rFont val="Noto Sans CJK SC"/>
        <family val="2"/>
      </rPr>
      <t xml:space="preserve">억원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</si>
  <si>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기초지수</t>
  </si>
  <si>
    <r>
      <rPr>
        <b val="true"/>
        <sz val="11"/>
        <color rgb="FFFFFFFF"/>
        <rFont val="Noto Sans CJK SC"/>
        <family val="2"/>
      </rPr>
      <t xml:space="preserve">원본</t>
    </r>
    <r>
      <rPr>
        <b val="true"/>
        <sz val="11"/>
        <color rgb="FFFFFFFF"/>
        <rFont val="Arial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위험안전</t>
    </r>
  </si>
  <si>
    <r>
      <rPr>
        <b val="true"/>
        <sz val="11"/>
        <color rgb="FFFFFFFF"/>
        <rFont val="Noto Sans CJK SC"/>
        <family val="2"/>
      </rPr>
      <t xml:space="preserve">원본</t>
    </r>
    <r>
      <rPr>
        <b val="true"/>
        <sz val="11"/>
        <color rgb="FFFFFFFF"/>
        <rFont val="Arial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자산군</t>
    </r>
  </si>
  <si>
    <r>
      <rPr>
        <b val="true"/>
        <sz val="11"/>
        <color rgb="FFFFFFFF"/>
        <rFont val="Noto Sans CJK SC"/>
        <family val="2"/>
      </rPr>
      <t xml:space="preserve">대표</t>
    </r>
    <r>
      <rPr>
        <b val="true"/>
        <sz val="11"/>
        <color rgb="FFFFFFFF"/>
        <rFont val="Arial"/>
        <family val="0"/>
        <charset val="1"/>
      </rPr>
      <t xml:space="preserve">ETF</t>
    </r>
  </si>
  <si>
    <t xml:space="preserve">방어</t>
  </si>
  <si>
    <t xml:space="preserve">A1</t>
  </si>
  <si>
    <t xml:space="preserve">현금성</t>
  </si>
  <si>
    <t xml:space="preserve">A459580</t>
  </si>
  <si>
    <r>
      <rPr>
        <sz val="11"/>
        <rFont val="Arial"/>
        <family val="0"/>
        <charset val="1"/>
      </rPr>
      <t xml:space="preserve">KODEX CD</t>
    </r>
    <r>
      <rPr>
        <sz val="11"/>
        <rFont val="Noto Sans CJK SC"/>
        <family val="2"/>
      </rPr>
      <t xml:space="preserve">금리액티브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합성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</si>
  <si>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KAP </t>
    </r>
    <r>
      <rPr>
        <sz val="11"/>
        <rFont val="Noto Sans CJK SC"/>
        <family val="2"/>
      </rPr>
      <t xml:space="preserve">양도성예금증서</t>
    </r>
    <r>
      <rPr>
        <sz val="11"/>
        <rFont val="Arial"/>
        <family val="0"/>
        <charset val="1"/>
      </rPr>
      <t xml:space="preserve">(CD)</t>
    </r>
    <r>
      <rPr>
        <sz val="11"/>
        <rFont val="Noto Sans CJK SC"/>
        <family val="2"/>
      </rPr>
      <t xml:space="preserve">금리지수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총수익지수</t>
    </r>
    <r>
      <rPr>
        <sz val="11"/>
        <rFont val="Arial"/>
        <family val="0"/>
        <charset val="1"/>
      </rPr>
      <t xml:space="preserve">)</t>
    </r>
  </si>
  <si>
    <t xml:space="preserve">안전</t>
  </si>
  <si>
    <r>
      <rPr>
        <sz val="11"/>
        <rFont val="Noto Sans CJK SC"/>
        <family val="2"/>
      </rPr>
      <t xml:space="preserve">금리연계형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초단기채권</t>
    </r>
  </si>
  <si>
    <t xml:space="preserve">★</t>
  </si>
  <si>
    <t xml:space="preserve">A488770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</si>
  <si>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머니마켓액티브</t>
    </r>
  </si>
  <si>
    <r>
      <rPr>
        <sz val="11"/>
        <rFont val="Arial"/>
        <family val="0"/>
        <charset val="1"/>
      </rPr>
      <t xml:space="preserve">KAP MMF </t>
    </r>
    <r>
      <rPr>
        <sz val="11"/>
        <rFont val="Noto Sans CJK SC"/>
        <family val="2"/>
      </rPr>
      <t xml:space="preserve">지수</t>
    </r>
    <r>
      <rPr>
        <sz val="11"/>
        <rFont val="Arial"/>
        <family val="0"/>
        <charset val="1"/>
      </rPr>
      <t xml:space="preserve">(TR)</t>
    </r>
  </si>
  <si>
    <t xml:space="preserve">A423160</t>
  </si>
  <si>
    <r>
      <rPr>
        <sz val="11"/>
        <rFont val="Arial"/>
        <family val="0"/>
        <charset val="1"/>
      </rPr>
      <t xml:space="preserve">KODEX KOFR</t>
    </r>
    <r>
      <rPr>
        <sz val="11"/>
        <rFont val="Noto Sans CJK SC"/>
        <family val="2"/>
      </rPr>
      <t xml:space="preserve">금리액티브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합성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</si>
  <si>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KOFR </t>
    </r>
    <r>
      <rPr>
        <sz val="11"/>
        <rFont val="Noto Sans CJK SC"/>
        <family val="2"/>
      </rPr>
      <t xml:space="preserve">지수</t>
    </r>
  </si>
  <si>
    <t xml:space="preserve">A455890</t>
  </si>
  <si>
    <r>
      <rPr>
        <sz val="11"/>
        <rFont val="Arial"/>
        <family val="0"/>
        <charset val="1"/>
      </rPr>
      <t xml:space="preserve">RISE </t>
    </r>
    <r>
      <rPr>
        <sz val="11"/>
        <rFont val="Noto Sans CJK SC"/>
        <family val="2"/>
      </rPr>
      <t xml:space="preserve">머니마켓액티브</t>
    </r>
  </si>
  <si>
    <r>
      <rPr>
        <sz val="11"/>
        <rFont val="Arial"/>
        <family val="0"/>
        <charset val="1"/>
      </rPr>
      <t xml:space="preserve">KIS </t>
    </r>
    <r>
      <rPr>
        <sz val="11"/>
        <rFont val="Noto Sans CJK SC"/>
        <family val="2"/>
      </rPr>
      <t xml:space="preserve">시가평가 </t>
    </r>
    <r>
      <rPr>
        <sz val="11"/>
        <rFont val="Arial"/>
        <family val="0"/>
        <charset val="1"/>
      </rPr>
      <t xml:space="preserve">MMF </t>
    </r>
    <r>
      <rPr>
        <sz val="11"/>
        <rFont val="Noto Sans CJK SC"/>
        <family val="2"/>
      </rPr>
      <t xml:space="preserve">지수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총수익지수</t>
    </r>
    <r>
      <rPr>
        <sz val="11"/>
        <rFont val="Arial"/>
        <family val="0"/>
        <charset val="1"/>
      </rPr>
      <t xml:space="preserve">)</t>
    </r>
  </si>
  <si>
    <t xml:space="preserve">A0061Z0</t>
  </si>
  <si>
    <r>
      <rPr>
        <sz val="11"/>
        <rFont val="Arial"/>
        <family val="0"/>
        <charset val="1"/>
      </rPr>
      <t xml:space="preserve">RISE </t>
    </r>
    <r>
      <rPr>
        <sz val="11"/>
        <rFont val="Noto Sans CJK SC"/>
        <family val="2"/>
      </rPr>
      <t xml:space="preserve">단기특수은행채액티브</t>
    </r>
  </si>
  <si>
    <r>
      <rPr>
        <sz val="11"/>
        <rFont val="Arial"/>
        <family val="0"/>
        <charset val="1"/>
      </rPr>
      <t xml:space="preserve">KAP </t>
    </r>
    <r>
      <rPr>
        <sz val="11"/>
        <rFont val="Noto Sans CJK SC"/>
        <family val="2"/>
      </rPr>
      <t xml:space="preserve">단기 특수은행채 지수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시장가격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</si>
  <si>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국내채권</t>
    </r>
    <r>
      <rPr>
        <sz val="11"/>
        <rFont val="Arial"/>
        <family val="0"/>
        <charset val="1"/>
      </rPr>
      <t xml:space="preserve">_</t>
    </r>
    <r>
      <rPr>
        <sz val="11"/>
        <rFont val="Noto Sans CJK SC"/>
        <family val="2"/>
      </rPr>
      <t xml:space="preserve">회사채</t>
    </r>
  </si>
  <si>
    <t xml:space="preserve">A157450</t>
  </si>
  <si>
    <r>
      <rPr>
        <sz val="11"/>
        <rFont val="Arial"/>
        <family val="0"/>
        <charset val="1"/>
      </rPr>
      <t xml:space="preserve">TIGER </t>
    </r>
    <r>
      <rPr>
        <sz val="11"/>
        <rFont val="Noto Sans CJK SC"/>
        <family val="2"/>
      </rPr>
      <t xml:space="preserve">단기통안채</t>
    </r>
  </si>
  <si>
    <r>
      <rPr>
        <sz val="11"/>
        <rFont val="Arial"/>
        <family val="0"/>
        <charset val="1"/>
      </rPr>
      <t xml:space="preserve">KIS MSB 6M(</t>
    </r>
    <r>
      <rPr>
        <sz val="11"/>
        <rFont val="Noto Sans CJK SC"/>
        <family val="2"/>
      </rPr>
      <t xml:space="preserve">총수익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</si>
  <si>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국내채권</t>
    </r>
    <r>
      <rPr>
        <sz val="11"/>
        <rFont val="Arial"/>
        <family val="0"/>
        <charset val="1"/>
      </rPr>
      <t xml:space="preserve">_</t>
    </r>
    <r>
      <rPr>
        <sz val="11"/>
        <rFont val="Noto Sans CJK SC"/>
        <family val="2"/>
      </rPr>
      <t xml:space="preserve">종합</t>
    </r>
  </si>
  <si>
    <t xml:space="preserve">A469830</t>
  </si>
  <si>
    <r>
      <rPr>
        <sz val="11"/>
        <rFont val="Arial"/>
        <family val="0"/>
        <charset val="1"/>
      </rPr>
      <t xml:space="preserve">SOL </t>
    </r>
    <r>
      <rPr>
        <sz val="11"/>
        <rFont val="Noto Sans CJK SC"/>
        <family val="2"/>
      </rPr>
      <t xml:space="preserve">초단기채권액티브</t>
    </r>
  </si>
  <si>
    <r>
      <rPr>
        <sz val="11"/>
        <rFont val="Arial"/>
        <family val="0"/>
        <charset val="1"/>
      </rPr>
      <t xml:space="preserve">KAP </t>
    </r>
    <r>
      <rPr>
        <sz val="11"/>
        <rFont val="Noto Sans CJK SC"/>
        <family val="2"/>
      </rPr>
      <t xml:space="preserve">단기자금시장지수</t>
    </r>
  </si>
  <si>
    <t xml:space="preserve">A153130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</si>
  <si>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단기채권</t>
    </r>
  </si>
  <si>
    <r>
      <rPr>
        <sz val="11"/>
        <rFont val="Arial"/>
        <family val="0"/>
        <charset val="1"/>
      </rPr>
      <t xml:space="preserve">KRW Cash Index(</t>
    </r>
    <r>
      <rPr>
        <sz val="11"/>
        <rFont val="Noto Sans CJK SC"/>
        <family val="2"/>
      </rPr>
      <t xml:space="preserve">총수익</t>
    </r>
    <r>
      <rPr>
        <sz val="11"/>
        <rFont val="Arial"/>
        <family val="0"/>
        <charset val="1"/>
      </rPr>
      <t xml:space="preserve">)</t>
    </r>
  </si>
  <si>
    <t xml:space="preserve">A456610</t>
  </si>
  <si>
    <r>
      <rPr>
        <sz val="11"/>
        <rFont val="Arial"/>
        <family val="0"/>
        <charset val="1"/>
      </rPr>
      <t xml:space="preserve">TIGER </t>
    </r>
    <r>
      <rPr>
        <sz val="11"/>
        <rFont val="Noto Sans CJK SC"/>
        <family val="2"/>
      </rPr>
      <t xml:space="preserve">미국달러</t>
    </r>
    <r>
      <rPr>
        <sz val="11"/>
        <rFont val="Arial"/>
        <family val="0"/>
        <charset val="1"/>
      </rPr>
      <t xml:space="preserve">SOFR</t>
    </r>
    <r>
      <rPr>
        <sz val="11"/>
        <rFont val="Noto Sans CJK SC"/>
        <family val="2"/>
      </rPr>
      <t xml:space="preserve">금리액티브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합성</t>
    </r>
    <r>
      <rPr>
        <sz val="11"/>
        <rFont val="Arial"/>
        <family val="0"/>
        <charset val="1"/>
      </rPr>
      <t xml:space="preserve">)</t>
    </r>
  </si>
  <si>
    <t xml:space="preserve">Solactive SOFR Daily Total Return Index</t>
  </si>
  <si>
    <t xml:space="preserve">A329750</t>
  </si>
  <si>
    <r>
      <rPr>
        <sz val="11"/>
        <rFont val="Arial"/>
        <family val="0"/>
        <charset val="1"/>
      </rPr>
      <t xml:space="preserve">TIGER </t>
    </r>
    <r>
      <rPr>
        <sz val="11"/>
        <rFont val="Noto Sans CJK SC"/>
        <family val="2"/>
      </rPr>
      <t xml:space="preserve">미국달러단기채권액티브</t>
    </r>
  </si>
  <si>
    <r>
      <rPr>
        <sz val="11"/>
        <rFont val="Arial"/>
        <family val="0"/>
        <charset val="1"/>
      </rPr>
      <t xml:space="preserve">KIS U.S. TREASURY BOND 0-1Y </t>
    </r>
    <r>
      <rPr>
        <sz val="11"/>
        <rFont val="Noto Sans CJK SC"/>
        <family val="2"/>
      </rPr>
      <t xml:space="preserve">지수</t>
    </r>
  </si>
  <si>
    <r>
      <rPr>
        <sz val="11"/>
        <rFont val="Noto Sans CJK SC"/>
        <family val="2"/>
      </rPr>
      <t xml:space="preserve">해외채권</t>
    </r>
    <r>
      <rPr>
        <sz val="11"/>
        <rFont val="Arial"/>
        <family val="0"/>
        <charset val="1"/>
      </rPr>
      <t xml:space="preserve">_</t>
    </r>
    <r>
      <rPr>
        <sz val="11"/>
        <rFont val="Noto Sans CJK SC"/>
        <family val="2"/>
      </rPr>
      <t xml:space="preserve">종합</t>
    </r>
  </si>
  <si>
    <t xml:space="preserve">A196230</t>
  </si>
  <si>
    <r>
      <rPr>
        <sz val="11"/>
        <rFont val="Arial"/>
        <family val="0"/>
        <charset val="1"/>
      </rPr>
      <t xml:space="preserve">RISE </t>
    </r>
    <r>
      <rPr>
        <sz val="11"/>
        <rFont val="Noto Sans CJK SC"/>
        <family val="2"/>
      </rPr>
      <t xml:space="preserve">단기통안채</t>
    </r>
  </si>
  <si>
    <r>
      <rPr>
        <sz val="11"/>
        <rFont val="Arial"/>
        <family val="0"/>
        <charset val="1"/>
      </rPr>
      <t xml:space="preserve">KIS MSB 5M Index(</t>
    </r>
    <r>
      <rPr>
        <sz val="11"/>
        <rFont val="Noto Sans CJK SC"/>
        <family val="2"/>
      </rPr>
      <t xml:space="preserve">총수익</t>
    </r>
    <r>
      <rPr>
        <sz val="11"/>
        <rFont val="Arial"/>
        <family val="0"/>
        <charset val="1"/>
      </rPr>
      <t xml:space="preserve">)</t>
    </r>
  </si>
  <si>
    <t xml:space="preserve">A272560</t>
  </si>
  <si>
    <r>
      <rPr>
        <sz val="11"/>
        <rFont val="Arial"/>
        <family val="0"/>
        <charset val="1"/>
      </rPr>
      <t xml:space="preserve">RISE </t>
    </r>
    <r>
      <rPr>
        <sz val="11"/>
        <rFont val="Noto Sans CJK SC"/>
        <family val="2"/>
      </rPr>
      <t xml:space="preserve">단기국공채액티브</t>
    </r>
  </si>
  <si>
    <r>
      <rPr>
        <sz val="11"/>
        <rFont val="Arial"/>
        <family val="0"/>
        <charset val="1"/>
      </rPr>
      <t xml:space="preserve">KIS </t>
    </r>
    <r>
      <rPr>
        <sz val="11"/>
        <rFont val="Noto Sans CJK SC"/>
        <family val="2"/>
      </rPr>
      <t xml:space="preserve">종합채권국공채</t>
    </r>
    <r>
      <rPr>
        <sz val="11"/>
        <rFont val="Arial"/>
        <family val="0"/>
        <charset val="1"/>
      </rPr>
      <t xml:space="preserve">3M~1.5Y</t>
    </r>
    <r>
      <rPr>
        <sz val="11"/>
        <rFont val="Noto Sans CJK SC"/>
        <family val="2"/>
      </rPr>
      <t xml:space="preserve">지수</t>
    </r>
  </si>
  <si>
    <t xml:space="preserve">A455960</t>
  </si>
  <si>
    <r>
      <rPr>
        <sz val="11"/>
        <rFont val="Arial"/>
        <family val="0"/>
        <charset val="1"/>
      </rPr>
      <t xml:space="preserve">RISE </t>
    </r>
    <r>
      <rPr>
        <sz val="11"/>
        <rFont val="Noto Sans CJK SC"/>
        <family val="2"/>
      </rPr>
      <t xml:space="preserve">미국달러</t>
    </r>
    <r>
      <rPr>
        <sz val="11"/>
        <rFont val="Arial"/>
        <family val="0"/>
        <charset val="1"/>
      </rPr>
      <t xml:space="preserve">SOFR</t>
    </r>
    <r>
      <rPr>
        <sz val="11"/>
        <rFont val="Noto Sans CJK SC"/>
        <family val="2"/>
      </rPr>
      <t xml:space="preserve">금리액티브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합성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</si>
  <si>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KAP SOFR </t>
    </r>
    <r>
      <rPr>
        <sz val="11"/>
        <rFont val="Noto Sans CJK SC"/>
        <family val="2"/>
      </rPr>
      <t xml:space="preserve">지수</t>
    </r>
  </si>
  <si>
    <t xml:space="preserve">A278620</t>
  </si>
  <si>
    <r>
      <rPr>
        <sz val="11"/>
        <rFont val="Arial"/>
        <family val="0"/>
        <charset val="1"/>
      </rPr>
      <t xml:space="preserve">PLUS </t>
    </r>
    <r>
      <rPr>
        <sz val="11"/>
        <rFont val="Noto Sans CJK SC"/>
        <family val="2"/>
      </rPr>
      <t xml:space="preserve">단기채권액티브</t>
    </r>
  </si>
  <si>
    <r>
      <rPr>
        <sz val="11"/>
        <rFont val="Arial"/>
        <family val="0"/>
        <charset val="1"/>
      </rPr>
      <t xml:space="preserve">KAP </t>
    </r>
    <r>
      <rPr>
        <sz val="11"/>
        <rFont val="Noto Sans CJK SC"/>
        <family val="2"/>
      </rPr>
      <t xml:space="preserve">투자적격 크레딧 채권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년지수</t>
    </r>
    <r>
      <rPr>
        <sz val="11"/>
        <rFont val="Arial"/>
        <family val="0"/>
        <charset val="1"/>
      </rPr>
      <t xml:space="preserve">(A-</t>
    </r>
    <r>
      <rPr>
        <sz val="11"/>
        <rFont val="Noto Sans CJK SC"/>
        <family val="2"/>
      </rPr>
      <t xml:space="preserve">이상</t>
    </r>
    <r>
      <rPr>
        <sz val="11"/>
        <rFont val="Arial"/>
        <family val="0"/>
        <charset val="1"/>
      </rPr>
      <t xml:space="preserve">,</t>
    </r>
    <r>
      <rPr>
        <sz val="11"/>
        <rFont val="Noto Sans CJK SC"/>
        <family val="2"/>
      </rPr>
      <t xml:space="preserve">총수익</t>
    </r>
    <r>
      <rPr>
        <sz val="11"/>
        <rFont val="Arial"/>
        <family val="0"/>
        <charset val="1"/>
      </rPr>
      <t xml:space="preserve">)</t>
    </r>
  </si>
  <si>
    <t xml:space="preserve">A2</t>
  </si>
  <si>
    <r>
      <rPr>
        <sz val="11"/>
        <rFont val="Noto Sans CJK SC"/>
        <family val="2"/>
      </rPr>
      <t xml:space="preserve">국내 금리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국채</t>
    </r>
    <r>
      <rPr>
        <sz val="11"/>
        <rFont val="Arial"/>
        <family val="0"/>
        <charset val="1"/>
      </rPr>
      <t xml:space="preserve">·IG)</t>
    </r>
  </si>
  <si>
    <t xml:space="preserve">A273130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</si>
  <si>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종합채권</t>
    </r>
    <r>
      <rPr>
        <sz val="11"/>
        <rFont val="Arial"/>
        <family val="0"/>
        <charset val="1"/>
      </rPr>
      <t xml:space="preserve">(AA-</t>
    </r>
    <r>
      <rPr>
        <sz val="11"/>
        <rFont val="Noto Sans CJK SC"/>
        <family val="2"/>
      </rPr>
      <t xml:space="preserve">이상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액티브</t>
    </r>
  </si>
  <si>
    <r>
      <rPr>
        <sz val="11"/>
        <rFont val="Arial"/>
        <family val="0"/>
        <charset val="1"/>
      </rPr>
      <t xml:space="preserve">KAP </t>
    </r>
    <r>
      <rPr>
        <sz val="11"/>
        <rFont val="Noto Sans CJK SC"/>
        <family val="2"/>
      </rPr>
      <t xml:space="preserve">한국종합채권지수</t>
    </r>
  </si>
  <si>
    <t xml:space="preserve">A385540</t>
  </si>
  <si>
    <r>
      <rPr>
        <sz val="11"/>
        <rFont val="Arial"/>
        <family val="0"/>
        <charset val="1"/>
      </rPr>
      <t xml:space="preserve">RISE </t>
    </r>
    <r>
      <rPr>
        <sz val="11"/>
        <rFont val="Noto Sans CJK SC"/>
        <family val="2"/>
      </rPr>
      <t xml:space="preserve">종합채권</t>
    </r>
    <r>
      <rPr>
        <sz val="11"/>
        <rFont val="Arial"/>
        <family val="0"/>
        <charset val="1"/>
      </rPr>
      <t xml:space="preserve">(A-</t>
    </r>
    <r>
      <rPr>
        <sz val="11"/>
        <rFont val="Noto Sans CJK SC"/>
        <family val="2"/>
      </rPr>
      <t xml:space="preserve">이상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액티브</t>
    </r>
  </si>
  <si>
    <r>
      <rPr>
        <sz val="11"/>
        <rFont val="Arial"/>
        <family val="0"/>
        <charset val="1"/>
      </rPr>
      <t xml:space="preserve">KIS </t>
    </r>
    <r>
      <rPr>
        <sz val="11"/>
        <rFont val="Noto Sans CJK SC"/>
        <family val="2"/>
      </rPr>
      <t xml:space="preserve">종합채권 지수</t>
    </r>
    <r>
      <rPr>
        <sz val="11"/>
        <rFont val="Arial"/>
        <family val="0"/>
        <charset val="1"/>
      </rPr>
      <t xml:space="preserve">(A-</t>
    </r>
    <r>
      <rPr>
        <sz val="11"/>
        <rFont val="Noto Sans CJK SC"/>
        <family val="2"/>
      </rPr>
      <t xml:space="preserve">이상</t>
    </r>
    <r>
      <rPr>
        <sz val="11"/>
        <rFont val="Arial"/>
        <family val="0"/>
        <charset val="1"/>
      </rPr>
      <t xml:space="preserve">)(</t>
    </r>
    <r>
      <rPr>
        <sz val="11"/>
        <rFont val="Noto Sans CJK SC"/>
        <family val="2"/>
      </rPr>
      <t xml:space="preserve">총수익지수</t>
    </r>
    <r>
      <rPr>
        <sz val="11"/>
        <rFont val="Arial"/>
        <family val="0"/>
        <charset val="1"/>
      </rPr>
      <t xml:space="preserve">)</t>
    </r>
  </si>
  <si>
    <t xml:space="preserve">A451540</t>
  </si>
  <si>
    <r>
      <rPr>
        <sz val="11"/>
        <rFont val="Arial"/>
        <family val="0"/>
        <charset val="1"/>
      </rPr>
      <t xml:space="preserve">TIGER </t>
    </r>
    <r>
      <rPr>
        <sz val="11"/>
        <rFont val="Noto Sans CJK SC"/>
        <family val="2"/>
      </rPr>
      <t xml:space="preserve">종합채권</t>
    </r>
    <r>
      <rPr>
        <sz val="11"/>
        <rFont val="Arial"/>
        <family val="0"/>
        <charset val="1"/>
      </rPr>
      <t xml:space="preserve">(AA-</t>
    </r>
    <r>
      <rPr>
        <sz val="11"/>
        <rFont val="Noto Sans CJK SC"/>
        <family val="2"/>
      </rPr>
      <t xml:space="preserve">이상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액티브</t>
    </r>
  </si>
  <si>
    <r>
      <rPr>
        <sz val="11"/>
        <rFont val="Arial"/>
        <family val="0"/>
        <charset val="1"/>
      </rPr>
      <t xml:space="preserve">KIS </t>
    </r>
    <r>
      <rPr>
        <sz val="11"/>
        <rFont val="Noto Sans CJK SC"/>
        <family val="2"/>
      </rPr>
      <t xml:space="preserve">종합채권 </t>
    </r>
    <r>
      <rPr>
        <sz val="11"/>
        <rFont val="Arial"/>
        <family val="0"/>
        <charset val="1"/>
      </rPr>
      <t xml:space="preserve">AA-</t>
    </r>
    <r>
      <rPr>
        <sz val="11"/>
        <rFont val="Noto Sans CJK SC"/>
        <family val="2"/>
      </rPr>
      <t xml:space="preserve">이상 총수익 지수</t>
    </r>
    <r>
      <rPr>
        <sz val="11"/>
        <rFont val="Arial"/>
        <family val="0"/>
        <charset val="1"/>
      </rPr>
      <t xml:space="preserve">(Total return Index)</t>
    </r>
  </si>
  <si>
    <t xml:space="preserve">A438330</t>
  </si>
  <si>
    <r>
      <rPr>
        <sz val="11"/>
        <rFont val="Arial"/>
        <family val="0"/>
        <charset val="1"/>
      </rPr>
      <t xml:space="preserve">TIGER </t>
    </r>
    <r>
      <rPr>
        <sz val="11"/>
        <rFont val="Noto Sans CJK SC"/>
        <family val="2"/>
      </rPr>
      <t xml:space="preserve">투자등급회사채액티브</t>
    </r>
  </si>
  <si>
    <r>
      <rPr>
        <sz val="11"/>
        <rFont val="Arial"/>
        <family val="0"/>
        <charset val="1"/>
      </rPr>
      <t xml:space="preserve">KIS </t>
    </r>
    <r>
      <rPr>
        <sz val="11"/>
        <rFont val="Noto Sans CJK SC"/>
        <family val="2"/>
      </rPr>
      <t xml:space="preserve">투자등급회사채 지수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총수익</t>
    </r>
    <r>
      <rPr>
        <sz val="11"/>
        <rFont val="Arial"/>
        <family val="0"/>
        <charset val="1"/>
      </rPr>
      <t xml:space="preserve">)</t>
    </r>
  </si>
  <si>
    <t xml:space="preserve">A114260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</si>
  <si>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국고채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</si>
  <si>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MKF </t>
    </r>
    <r>
      <rPr>
        <sz val="11"/>
        <rFont val="Noto Sans CJK SC"/>
        <family val="2"/>
      </rPr>
      <t xml:space="preserve">국고채지수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총수익</t>
    </r>
    <r>
      <rPr>
        <sz val="11"/>
        <rFont val="Arial"/>
        <family val="0"/>
        <charset val="1"/>
      </rPr>
      <t xml:space="preserve">)</t>
    </r>
  </si>
  <si>
    <t xml:space="preserve">A148070</t>
  </si>
  <si>
    <r>
      <rPr>
        <sz val="11"/>
        <rFont val="Arial"/>
        <family val="0"/>
        <charset val="1"/>
      </rPr>
      <t xml:space="preserve">KIWOOM </t>
    </r>
    <r>
      <rPr>
        <sz val="11"/>
        <rFont val="Noto Sans CJK SC"/>
        <family val="2"/>
      </rPr>
      <t xml:space="preserve">국고채</t>
    </r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</si>
  <si>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KIS </t>
    </r>
    <r>
      <rPr>
        <sz val="11"/>
        <rFont val="Noto Sans CJK SC"/>
        <family val="2"/>
      </rPr>
      <t xml:space="preserve">국고채 </t>
    </r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년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총수익</t>
    </r>
    <r>
      <rPr>
        <sz val="11"/>
        <rFont val="Arial"/>
        <family val="0"/>
        <charset val="1"/>
      </rPr>
      <t xml:space="preserve">)</t>
    </r>
  </si>
  <si>
    <t xml:space="preserve">A0016X0</t>
  </si>
  <si>
    <r>
      <rPr>
        <sz val="11"/>
        <rFont val="Arial"/>
        <family val="0"/>
        <charset val="1"/>
      </rPr>
      <t xml:space="preserve">SOL </t>
    </r>
    <r>
      <rPr>
        <sz val="11"/>
        <rFont val="Noto Sans CJK SC"/>
        <family val="2"/>
      </rPr>
      <t xml:space="preserve">중단기회사채</t>
    </r>
    <r>
      <rPr>
        <sz val="11"/>
        <rFont val="Arial"/>
        <family val="0"/>
        <charset val="1"/>
      </rPr>
      <t xml:space="preserve">(A-</t>
    </r>
    <r>
      <rPr>
        <sz val="11"/>
        <rFont val="Noto Sans CJK SC"/>
        <family val="2"/>
      </rPr>
      <t xml:space="preserve">이상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액티브</t>
    </r>
  </si>
  <si>
    <r>
      <rPr>
        <sz val="11"/>
        <rFont val="Arial"/>
        <family val="0"/>
        <charset val="1"/>
      </rPr>
      <t xml:space="preserve">KIS </t>
    </r>
    <r>
      <rPr>
        <sz val="11"/>
        <rFont val="Noto Sans CJK SC"/>
        <family val="2"/>
      </rPr>
      <t xml:space="preserve">중단기크레딧플러스채권</t>
    </r>
    <r>
      <rPr>
        <sz val="11"/>
        <rFont val="Arial"/>
        <family val="0"/>
        <charset val="1"/>
      </rPr>
      <t xml:space="preserve">(AA+~A-)</t>
    </r>
    <r>
      <rPr>
        <sz val="11"/>
        <rFont val="Noto Sans CJK SC"/>
        <family val="2"/>
      </rPr>
      <t xml:space="preserve">지수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총수익</t>
    </r>
    <r>
      <rPr>
        <sz val="11"/>
        <rFont val="Arial"/>
        <family val="0"/>
        <charset val="1"/>
      </rPr>
      <t xml:space="preserve">)</t>
    </r>
  </si>
  <si>
    <t xml:space="preserve">A439870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</si>
  <si>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국고채</t>
    </r>
    <r>
      <rPr>
        <sz val="11"/>
        <rFont val="Arial"/>
        <family val="0"/>
        <charset val="1"/>
      </rPr>
      <t xml:space="preserve">30</t>
    </r>
    <r>
      <rPr>
        <sz val="11"/>
        <rFont val="Noto Sans CJK SC"/>
        <family val="2"/>
      </rPr>
      <t xml:space="preserve">년액티브</t>
    </r>
  </si>
  <si>
    <r>
      <rPr>
        <sz val="11"/>
        <rFont val="Arial"/>
        <family val="0"/>
        <charset val="1"/>
      </rPr>
      <t xml:space="preserve">KAP </t>
    </r>
    <r>
      <rPr>
        <sz val="11"/>
        <rFont val="Noto Sans CJK SC"/>
        <family val="2"/>
      </rPr>
      <t xml:space="preserve">국고채 </t>
    </r>
    <r>
      <rPr>
        <sz val="11"/>
        <rFont val="Arial"/>
        <family val="0"/>
        <charset val="1"/>
      </rPr>
      <t xml:space="preserve">30</t>
    </r>
    <r>
      <rPr>
        <sz val="11"/>
        <rFont val="Noto Sans CJK SC"/>
        <family val="2"/>
      </rPr>
      <t xml:space="preserve">년 총수익 지수</t>
    </r>
  </si>
  <si>
    <t xml:space="preserve">A363570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</si>
  <si>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장기종합채권</t>
    </r>
    <r>
      <rPr>
        <sz val="11"/>
        <rFont val="Arial"/>
        <family val="0"/>
        <charset val="1"/>
      </rPr>
      <t xml:space="preserve">(AA-</t>
    </r>
    <r>
      <rPr>
        <sz val="11"/>
        <rFont val="Noto Sans CJK SC"/>
        <family val="2"/>
      </rPr>
      <t xml:space="preserve">이상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액티브</t>
    </r>
  </si>
  <si>
    <r>
      <rPr>
        <sz val="11"/>
        <rFont val="Arial"/>
        <family val="0"/>
        <charset val="1"/>
      </rPr>
      <t xml:space="preserve">KAP </t>
    </r>
    <r>
      <rPr>
        <sz val="11"/>
        <rFont val="Noto Sans CJK SC"/>
        <family val="2"/>
      </rPr>
      <t xml:space="preserve">한국장기종합채권지수</t>
    </r>
    <r>
      <rPr>
        <sz val="11"/>
        <rFont val="Arial"/>
        <family val="0"/>
        <charset val="1"/>
      </rPr>
      <t xml:space="preserve">(AA-</t>
    </r>
    <r>
      <rPr>
        <sz val="11"/>
        <rFont val="Noto Sans CJK SC"/>
        <family val="2"/>
      </rPr>
      <t xml:space="preserve">이상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총수익</t>
    </r>
    <r>
      <rPr>
        <sz val="11"/>
        <rFont val="Arial"/>
        <family val="0"/>
        <charset val="1"/>
      </rPr>
      <t xml:space="preserve">)</t>
    </r>
  </si>
  <si>
    <t xml:space="preserve">A302190</t>
  </si>
  <si>
    <r>
      <rPr>
        <sz val="11"/>
        <rFont val="Arial"/>
        <family val="0"/>
        <charset val="1"/>
      </rPr>
      <t xml:space="preserve">TIGER </t>
    </r>
    <r>
      <rPr>
        <sz val="11"/>
        <rFont val="Noto Sans CJK SC"/>
        <family val="2"/>
      </rPr>
      <t xml:space="preserve">중장기국채</t>
    </r>
  </si>
  <si>
    <r>
      <rPr>
        <sz val="11"/>
        <rFont val="Arial"/>
        <family val="0"/>
        <charset val="1"/>
      </rPr>
      <t xml:space="preserve">KIS </t>
    </r>
    <r>
      <rPr>
        <sz val="11"/>
        <rFont val="Noto Sans CJK SC"/>
        <family val="2"/>
      </rPr>
      <t xml:space="preserve">국채 </t>
    </r>
    <r>
      <rPr>
        <sz val="11"/>
        <rFont val="Arial"/>
        <family val="0"/>
        <charset val="1"/>
      </rPr>
      <t xml:space="preserve">3-10</t>
    </r>
    <r>
      <rPr>
        <sz val="11"/>
        <rFont val="Noto Sans CJK SC"/>
        <family val="2"/>
      </rPr>
      <t xml:space="preserve">년 지수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시장가격지수</t>
    </r>
    <r>
      <rPr>
        <sz val="11"/>
        <rFont val="Arial"/>
        <family val="0"/>
        <charset val="1"/>
      </rPr>
      <t xml:space="preserve">)</t>
    </r>
  </si>
  <si>
    <t xml:space="preserve">A114100</t>
  </si>
  <si>
    <r>
      <rPr>
        <sz val="11"/>
        <rFont val="Arial"/>
        <family val="0"/>
        <charset val="1"/>
      </rPr>
      <t xml:space="preserve">RISE </t>
    </r>
    <r>
      <rPr>
        <sz val="11"/>
        <rFont val="Noto Sans CJK SC"/>
        <family val="2"/>
      </rPr>
      <t xml:space="preserve">국고채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</si>
  <si>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KTB index(</t>
    </r>
    <r>
      <rPr>
        <sz val="11"/>
        <rFont val="Noto Sans CJK SC"/>
        <family val="2"/>
      </rPr>
      <t xml:space="preserve">시장가격</t>
    </r>
    <r>
      <rPr>
        <sz val="11"/>
        <rFont val="Arial"/>
        <family val="0"/>
        <charset val="1"/>
      </rPr>
      <t xml:space="preserve">)</t>
    </r>
  </si>
  <si>
    <t xml:space="preserve">A451530</t>
  </si>
  <si>
    <r>
      <rPr>
        <sz val="11"/>
        <rFont val="Arial"/>
        <family val="0"/>
        <charset val="1"/>
      </rPr>
      <t xml:space="preserve">TIGER </t>
    </r>
    <r>
      <rPr>
        <sz val="11"/>
        <rFont val="Noto Sans CJK SC"/>
        <family val="2"/>
      </rPr>
      <t xml:space="preserve">국고채</t>
    </r>
    <r>
      <rPr>
        <sz val="11"/>
        <rFont val="Arial"/>
        <family val="0"/>
        <charset val="1"/>
      </rPr>
      <t xml:space="preserve">30</t>
    </r>
    <r>
      <rPr>
        <sz val="11"/>
        <rFont val="Noto Sans CJK SC"/>
        <family val="2"/>
      </rPr>
      <t xml:space="preserve">년스트립액티브</t>
    </r>
  </si>
  <si>
    <r>
      <rPr>
        <sz val="11"/>
        <rFont val="Arial"/>
        <family val="0"/>
        <charset val="1"/>
      </rPr>
      <t xml:space="preserve">KIS STRIP 30Y Index(</t>
    </r>
    <r>
      <rPr>
        <sz val="11"/>
        <rFont val="Noto Sans CJK SC"/>
        <family val="2"/>
      </rPr>
      <t xml:space="preserve">총수익지수</t>
    </r>
    <r>
      <rPr>
        <sz val="11"/>
        <rFont val="Arial"/>
        <family val="0"/>
        <charset val="1"/>
      </rPr>
      <t xml:space="preserve">)</t>
    </r>
  </si>
  <si>
    <t xml:space="preserve">A298340</t>
  </si>
  <si>
    <r>
      <rPr>
        <sz val="11"/>
        <rFont val="Arial"/>
        <family val="0"/>
        <charset val="1"/>
      </rPr>
      <t xml:space="preserve">PLUS </t>
    </r>
    <r>
      <rPr>
        <sz val="11"/>
        <rFont val="Noto Sans CJK SC"/>
        <family val="2"/>
      </rPr>
      <t xml:space="preserve">국채선물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</si>
  <si>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F-KTB </t>
    </r>
    <r>
      <rPr>
        <sz val="11"/>
        <rFont val="Noto Sans CJK SC"/>
        <family val="2"/>
      </rPr>
      <t xml:space="preserve">지수</t>
    </r>
  </si>
  <si>
    <t xml:space="preserve">A426150</t>
  </si>
  <si>
    <r>
      <rPr>
        <sz val="11"/>
        <rFont val="Arial"/>
        <family val="0"/>
        <charset val="1"/>
      </rPr>
      <t xml:space="preserve">WON </t>
    </r>
    <r>
      <rPr>
        <sz val="11"/>
        <rFont val="Noto Sans CJK SC"/>
        <family val="2"/>
      </rPr>
      <t xml:space="preserve">대한민국국고채액티브</t>
    </r>
  </si>
  <si>
    <r>
      <rPr>
        <sz val="11"/>
        <rFont val="Arial"/>
        <family val="0"/>
        <charset val="1"/>
      </rPr>
      <t xml:space="preserve">KAP </t>
    </r>
    <r>
      <rPr>
        <sz val="11"/>
        <rFont val="Noto Sans CJK SC"/>
        <family val="2"/>
      </rPr>
      <t xml:space="preserve">한국 국고채 총수익 지수</t>
    </r>
  </si>
  <si>
    <t xml:space="preserve">A336160</t>
  </si>
  <si>
    <r>
      <rPr>
        <sz val="11"/>
        <rFont val="Arial"/>
        <family val="0"/>
        <charset val="1"/>
      </rPr>
      <t xml:space="preserve">RISE </t>
    </r>
    <r>
      <rPr>
        <sz val="11"/>
        <rFont val="Noto Sans CJK SC"/>
        <family val="2"/>
      </rPr>
      <t xml:space="preserve">금융채액티브</t>
    </r>
  </si>
  <si>
    <r>
      <rPr>
        <sz val="11"/>
        <rFont val="Arial"/>
        <family val="0"/>
        <charset val="1"/>
      </rPr>
      <t xml:space="preserve">KIS </t>
    </r>
    <r>
      <rPr>
        <sz val="11"/>
        <rFont val="Noto Sans CJK SC"/>
        <family val="2"/>
      </rPr>
      <t xml:space="preserve">종합채권금융채 </t>
    </r>
    <r>
      <rPr>
        <sz val="11"/>
        <rFont val="Arial"/>
        <family val="0"/>
        <charset val="1"/>
      </rPr>
      <t xml:space="preserve">2.5-3Y </t>
    </r>
    <r>
      <rPr>
        <sz val="11"/>
        <rFont val="Noto Sans CJK SC"/>
        <family val="2"/>
      </rPr>
      <t xml:space="preserve">지수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총수익</t>
    </r>
    <r>
      <rPr>
        <sz val="11"/>
        <rFont val="Arial"/>
        <family val="0"/>
        <charset val="1"/>
      </rPr>
      <t xml:space="preserve">)</t>
    </r>
  </si>
  <si>
    <t xml:space="preserve">A152380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</si>
  <si>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국채선물</t>
    </r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</si>
  <si>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년국채선물지수</t>
    </r>
  </si>
  <si>
    <t xml:space="preserve">A397420</t>
  </si>
  <si>
    <r>
      <rPr>
        <sz val="11"/>
        <rFont val="Arial"/>
        <family val="0"/>
        <charset val="1"/>
      </rPr>
      <t xml:space="preserve">RISE </t>
    </r>
    <r>
      <rPr>
        <sz val="11"/>
        <rFont val="Noto Sans CJK SC"/>
        <family val="2"/>
      </rPr>
      <t xml:space="preserve">국채선물</t>
    </r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년추종</t>
    </r>
  </si>
  <si>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년 국채선물 추종 지수</t>
    </r>
  </si>
  <si>
    <t xml:space="preserve">A3</t>
  </si>
  <si>
    <r>
      <rPr>
        <sz val="11"/>
        <rFont val="Noto Sans CJK SC"/>
        <family val="2"/>
      </rPr>
      <t xml:space="preserve">미국 금리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국채</t>
    </r>
    <r>
      <rPr>
        <sz val="11"/>
        <rFont val="Arial"/>
        <family val="0"/>
        <charset val="1"/>
      </rPr>
      <t xml:space="preserve">·IG)</t>
    </r>
  </si>
  <si>
    <t xml:space="preserve">A453850</t>
  </si>
  <si>
    <r>
      <rPr>
        <sz val="11"/>
        <rFont val="Arial"/>
        <family val="0"/>
        <charset val="1"/>
      </rPr>
      <t xml:space="preserve">ACE </t>
    </r>
    <r>
      <rPr>
        <sz val="11"/>
        <rFont val="Noto Sans CJK SC"/>
        <family val="2"/>
      </rPr>
      <t xml:space="preserve">미국</t>
    </r>
    <r>
      <rPr>
        <sz val="11"/>
        <rFont val="Arial"/>
        <family val="0"/>
        <charset val="1"/>
      </rPr>
      <t xml:space="preserve">30</t>
    </r>
    <r>
      <rPr>
        <sz val="11"/>
        <rFont val="Noto Sans CJK SC"/>
        <family val="2"/>
      </rPr>
      <t xml:space="preserve">년국채액티브</t>
    </r>
    <r>
      <rPr>
        <sz val="11"/>
        <rFont val="Arial"/>
        <family val="0"/>
        <charset val="1"/>
      </rPr>
      <t xml:space="preserve">(H)</t>
    </r>
  </si>
  <si>
    <t xml:space="preserve">Bloomberg U.S Treasury 20+ Year Total Return Index</t>
  </si>
  <si>
    <t xml:space="preserve">A458250</t>
  </si>
  <si>
    <r>
      <rPr>
        <sz val="11"/>
        <rFont val="Arial"/>
        <family val="0"/>
        <charset val="1"/>
      </rPr>
      <t xml:space="preserve">TIGER </t>
    </r>
    <r>
      <rPr>
        <sz val="11"/>
        <rFont val="Noto Sans CJK SC"/>
        <family val="2"/>
      </rPr>
      <t xml:space="preserve">미국</t>
    </r>
    <r>
      <rPr>
        <sz val="11"/>
        <rFont val="Arial"/>
        <family val="0"/>
        <charset val="1"/>
      </rPr>
      <t xml:space="preserve">30</t>
    </r>
    <r>
      <rPr>
        <sz val="11"/>
        <rFont val="Noto Sans CJK SC"/>
        <family val="2"/>
      </rPr>
      <t xml:space="preserve">년국채스트립액티브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합성 </t>
    </r>
    <r>
      <rPr>
        <sz val="11"/>
        <rFont val="Arial"/>
        <family val="0"/>
        <charset val="1"/>
      </rPr>
      <t xml:space="preserve">H)</t>
    </r>
  </si>
  <si>
    <t xml:space="preserve">ICE BofA Long US Treasury Principal STRIPS Index</t>
  </si>
  <si>
    <t xml:space="preserve">A484790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</si>
  <si>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미국</t>
    </r>
    <r>
      <rPr>
        <sz val="11"/>
        <rFont val="Arial"/>
        <family val="0"/>
        <charset val="1"/>
      </rPr>
      <t xml:space="preserve">30</t>
    </r>
    <r>
      <rPr>
        <sz val="11"/>
        <rFont val="Noto Sans CJK SC"/>
        <family val="2"/>
      </rPr>
      <t xml:space="preserve">년국채액티브</t>
    </r>
    <r>
      <rPr>
        <sz val="11"/>
        <rFont val="Arial"/>
        <family val="0"/>
        <charset val="1"/>
      </rPr>
      <t xml:space="preserve">(H)</t>
    </r>
  </si>
  <si>
    <r>
      <rPr>
        <sz val="11"/>
        <rFont val="Arial"/>
        <family val="0"/>
        <charset val="1"/>
      </rPr>
      <t xml:space="preserve">KEDI-KAP </t>
    </r>
    <r>
      <rPr>
        <sz val="11"/>
        <rFont val="Noto Sans CJK SC"/>
        <family val="2"/>
      </rPr>
      <t xml:space="preserve">미국 국채 </t>
    </r>
    <r>
      <rPr>
        <sz val="11"/>
        <rFont val="Arial"/>
        <family val="0"/>
        <charset val="1"/>
      </rPr>
      <t xml:space="preserve">20+ </t>
    </r>
    <r>
      <rPr>
        <sz val="11"/>
        <rFont val="Noto Sans CJK SC"/>
        <family val="2"/>
      </rPr>
      <t xml:space="preserve">지수</t>
    </r>
    <r>
      <rPr>
        <sz val="11"/>
        <rFont val="Arial"/>
        <family val="0"/>
        <charset val="1"/>
      </rPr>
      <t xml:space="preserve">(TR)</t>
    </r>
  </si>
  <si>
    <t xml:space="preserve">A472870</t>
  </si>
  <si>
    <r>
      <rPr>
        <sz val="11"/>
        <rFont val="Arial"/>
        <family val="0"/>
        <charset val="1"/>
      </rPr>
      <t xml:space="preserve">RISE </t>
    </r>
    <r>
      <rPr>
        <sz val="11"/>
        <rFont val="Noto Sans CJK SC"/>
        <family val="2"/>
      </rPr>
      <t xml:space="preserve">미국</t>
    </r>
    <r>
      <rPr>
        <sz val="11"/>
        <rFont val="Arial"/>
        <family val="0"/>
        <charset val="1"/>
      </rPr>
      <t xml:space="preserve">30</t>
    </r>
    <r>
      <rPr>
        <sz val="11"/>
        <rFont val="Noto Sans CJK SC"/>
        <family val="2"/>
      </rPr>
      <t xml:space="preserve">년국채엔화노출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합성 </t>
    </r>
    <r>
      <rPr>
        <sz val="11"/>
        <rFont val="Arial"/>
        <family val="0"/>
        <charset val="1"/>
      </rPr>
      <t xml:space="preserve">H)</t>
    </r>
  </si>
  <si>
    <r>
      <rPr>
        <sz val="11"/>
        <rFont val="Arial"/>
        <family val="0"/>
        <charset val="1"/>
      </rPr>
      <t xml:space="preserve">KIS </t>
    </r>
    <r>
      <rPr>
        <sz val="11"/>
        <rFont val="Noto Sans CJK SC"/>
        <family val="2"/>
      </rPr>
      <t xml:space="preserve">미국채</t>
    </r>
    <r>
      <rPr>
        <sz val="11"/>
        <rFont val="Arial"/>
        <family val="0"/>
        <charset val="1"/>
      </rPr>
      <t xml:space="preserve">30</t>
    </r>
    <r>
      <rPr>
        <sz val="11"/>
        <rFont val="Noto Sans CJK SC"/>
        <family val="2"/>
      </rPr>
      <t xml:space="preserve">년 엔화노출 지수</t>
    </r>
    <r>
      <rPr>
        <sz val="11"/>
        <rFont val="Arial"/>
        <family val="0"/>
        <charset val="1"/>
      </rPr>
      <t xml:space="preserve">(USD/JPY </t>
    </r>
    <r>
      <rPr>
        <sz val="11"/>
        <rFont val="Noto Sans CJK SC"/>
        <family val="2"/>
      </rPr>
      <t xml:space="preserve">헤지</t>
    </r>
    <r>
      <rPr>
        <sz val="11"/>
        <rFont val="Arial"/>
        <family val="0"/>
        <charset val="1"/>
      </rPr>
      <t xml:space="preserve">)(</t>
    </r>
    <r>
      <rPr>
        <sz val="11"/>
        <rFont val="Noto Sans CJK SC"/>
        <family val="2"/>
      </rPr>
      <t xml:space="preserve">총수익지수</t>
    </r>
    <r>
      <rPr>
        <sz val="11"/>
        <rFont val="Arial"/>
        <family val="0"/>
        <charset val="1"/>
      </rPr>
      <t xml:space="preserve">)</t>
    </r>
  </si>
  <si>
    <t xml:space="preserve">A476760</t>
  </si>
  <si>
    <r>
      <rPr>
        <sz val="11"/>
        <rFont val="Arial"/>
        <family val="0"/>
        <charset val="1"/>
      </rPr>
      <t xml:space="preserve">ACE </t>
    </r>
    <r>
      <rPr>
        <sz val="11"/>
        <rFont val="Noto Sans CJK SC"/>
        <family val="2"/>
      </rPr>
      <t xml:space="preserve">미국</t>
    </r>
    <r>
      <rPr>
        <sz val="11"/>
        <rFont val="Arial"/>
        <family val="0"/>
        <charset val="1"/>
      </rPr>
      <t xml:space="preserve">30</t>
    </r>
    <r>
      <rPr>
        <sz val="11"/>
        <rFont val="Noto Sans CJK SC"/>
        <family val="2"/>
      </rPr>
      <t xml:space="preserve">년국채액티브</t>
    </r>
  </si>
  <si>
    <t xml:space="preserve">A458260</t>
  </si>
  <si>
    <r>
      <rPr>
        <sz val="11"/>
        <rFont val="Arial"/>
        <family val="0"/>
        <charset val="1"/>
      </rPr>
      <t xml:space="preserve">TIGER </t>
    </r>
    <r>
      <rPr>
        <sz val="11"/>
        <rFont val="Noto Sans CJK SC"/>
        <family val="2"/>
      </rPr>
      <t xml:space="preserve">미국투자등급회사채액티브</t>
    </r>
    <r>
      <rPr>
        <sz val="11"/>
        <rFont val="Arial"/>
        <family val="0"/>
        <charset val="1"/>
      </rPr>
      <t xml:space="preserve">(H)</t>
    </r>
  </si>
  <si>
    <t xml:space="preserve">iBoxx USD Liquid Investment Grade Index(Price Return)</t>
  </si>
  <si>
    <r>
      <rPr>
        <sz val="11"/>
        <rFont val="Noto Sans CJK SC"/>
        <family val="2"/>
      </rPr>
      <t xml:space="preserve">해외채권</t>
    </r>
    <r>
      <rPr>
        <sz val="11"/>
        <rFont val="Arial"/>
        <family val="0"/>
        <charset val="1"/>
      </rPr>
      <t xml:space="preserve">_</t>
    </r>
    <r>
      <rPr>
        <sz val="11"/>
        <rFont val="Noto Sans CJK SC"/>
        <family val="2"/>
      </rPr>
      <t xml:space="preserve">회사채</t>
    </r>
  </si>
  <si>
    <t xml:space="preserve">A305080</t>
  </si>
  <si>
    <r>
      <rPr>
        <sz val="11"/>
        <rFont val="Arial"/>
        <family val="0"/>
        <charset val="1"/>
      </rPr>
      <t xml:space="preserve">TIGER </t>
    </r>
    <r>
      <rPr>
        <sz val="11"/>
        <rFont val="Noto Sans CJK SC"/>
        <family val="2"/>
      </rPr>
      <t xml:space="preserve">미국채</t>
    </r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년선물</t>
    </r>
  </si>
  <si>
    <t xml:space="preserve">S&amp;P 10-Year U.S. Treasury Note Futures(ER)</t>
  </si>
  <si>
    <t xml:space="preserve">A308620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</si>
  <si>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미국</t>
    </r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년국채선물</t>
    </r>
  </si>
  <si>
    <t xml:space="preserve">S&amp;P 10-Year U.S. Treasury Note Futures KRW(ER)</t>
  </si>
  <si>
    <t xml:space="preserve">A476750</t>
  </si>
  <si>
    <r>
      <rPr>
        <sz val="11"/>
        <rFont val="Arial"/>
        <family val="0"/>
        <charset val="1"/>
      </rPr>
      <t xml:space="preserve">ACE </t>
    </r>
    <r>
      <rPr>
        <sz val="11"/>
        <rFont val="Noto Sans CJK SC"/>
        <family val="2"/>
      </rPr>
      <t xml:space="preserve">미국</t>
    </r>
    <r>
      <rPr>
        <sz val="11"/>
        <rFont val="Arial"/>
        <family val="0"/>
        <charset val="1"/>
      </rPr>
      <t xml:space="preserve">30</t>
    </r>
    <r>
      <rPr>
        <sz val="11"/>
        <rFont val="Noto Sans CJK SC"/>
        <family val="2"/>
      </rPr>
      <t xml:space="preserve">년국채엔화노출액티브</t>
    </r>
    <r>
      <rPr>
        <sz val="11"/>
        <rFont val="Arial"/>
        <family val="0"/>
        <charset val="1"/>
      </rPr>
      <t xml:space="preserve">(H)</t>
    </r>
  </si>
  <si>
    <t xml:space="preserve">Bloomberg U.S. Treasury 20+ Year Total Return Index T1530 JPY Currency Hedged</t>
  </si>
  <si>
    <t xml:space="preserve">A468630</t>
  </si>
  <si>
    <r>
      <rPr>
        <sz val="11"/>
        <rFont val="Arial"/>
        <family val="0"/>
        <charset val="1"/>
      </rPr>
      <t xml:space="preserve">KODEX iShares</t>
    </r>
    <r>
      <rPr>
        <sz val="11"/>
        <rFont val="Noto Sans CJK SC"/>
        <family val="2"/>
      </rPr>
      <t xml:space="preserve">미국투자등급회사채액티브</t>
    </r>
  </si>
  <si>
    <t xml:space="preserve">Markit iBoxx USD Liquid Investment Grade Index(Total Return)</t>
  </si>
  <si>
    <t xml:space="preserve">A332620</t>
  </si>
  <si>
    <r>
      <rPr>
        <sz val="11"/>
        <rFont val="Arial"/>
        <family val="0"/>
        <charset val="1"/>
      </rPr>
      <t xml:space="preserve">PLUS </t>
    </r>
    <r>
      <rPr>
        <sz val="11"/>
        <rFont val="Noto Sans CJK SC"/>
        <family val="2"/>
      </rPr>
      <t xml:space="preserve">미국장기우량회사채</t>
    </r>
  </si>
  <si>
    <r>
      <rPr>
        <sz val="11"/>
        <rFont val="Arial"/>
        <family val="0"/>
        <charset val="1"/>
      </rPr>
      <t xml:space="preserve">ICE BofaAML 15+ Year AAA-A US Corporate Index(</t>
    </r>
    <r>
      <rPr>
        <sz val="11"/>
        <rFont val="Noto Sans CJK SC"/>
        <family val="2"/>
      </rPr>
      <t xml:space="preserve">총수익지수</t>
    </r>
    <r>
      <rPr>
        <sz val="11"/>
        <rFont val="Arial"/>
        <family val="0"/>
        <charset val="1"/>
      </rPr>
      <t xml:space="preserve">)</t>
    </r>
  </si>
  <si>
    <t xml:space="preserve">A332610</t>
  </si>
  <si>
    <r>
      <rPr>
        <sz val="11"/>
        <rFont val="Arial"/>
        <family val="0"/>
        <charset val="1"/>
      </rPr>
      <t xml:space="preserve">PLUS </t>
    </r>
    <r>
      <rPr>
        <sz val="11"/>
        <rFont val="Noto Sans CJK SC"/>
        <family val="2"/>
      </rPr>
      <t xml:space="preserve">미국단기회사채</t>
    </r>
    <r>
      <rPr>
        <sz val="11"/>
        <rFont val="Arial"/>
        <family val="0"/>
        <charset val="1"/>
      </rPr>
      <t xml:space="preserve">(AAA~A)</t>
    </r>
  </si>
  <si>
    <r>
      <rPr>
        <sz val="11"/>
        <rFont val="Arial"/>
        <family val="0"/>
        <charset val="1"/>
      </rPr>
      <t xml:space="preserve">ICE BofaAML 1-3 Year AAA-A US Corporate Index(</t>
    </r>
    <r>
      <rPr>
        <sz val="11"/>
        <rFont val="Noto Sans CJK SC"/>
        <family val="2"/>
      </rPr>
      <t xml:space="preserve">총수익지수</t>
    </r>
    <r>
      <rPr>
        <sz val="11"/>
        <rFont val="Arial"/>
        <family val="0"/>
        <charset val="1"/>
      </rPr>
      <t xml:space="preserve">)</t>
    </r>
  </si>
  <si>
    <t xml:space="preserve">A267440</t>
  </si>
  <si>
    <r>
      <rPr>
        <sz val="11"/>
        <rFont val="Arial"/>
        <family val="0"/>
        <charset val="1"/>
      </rPr>
      <t xml:space="preserve">RISE </t>
    </r>
    <r>
      <rPr>
        <sz val="11"/>
        <rFont val="Noto Sans CJK SC"/>
        <family val="2"/>
      </rPr>
      <t xml:space="preserve">미국장기국채선물</t>
    </r>
    <r>
      <rPr>
        <sz val="11"/>
        <rFont val="Arial"/>
        <family val="0"/>
        <charset val="1"/>
      </rPr>
      <t xml:space="preserve">(H)</t>
    </r>
  </si>
  <si>
    <t xml:space="preserve">S&amp;P U.S. Treasury Bond Futures Excess Return Index</t>
  </si>
  <si>
    <t xml:space="preserve">A4</t>
  </si>
  <si>
    <t xml:space="preserve">안전통화</t>
  </si>
  <si>
    <t xml:space="preserve">A261240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</si>
  <si>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미국달러선물</t>
    </r>
  </si>
  <si>
    <t xml:space="preserve">미국달러 선물지수</t>
  </si>
  <si>
    <t xml:space="preserve">위험</t>
  </si>
  <si>
    <r>
      <rPr>
        <sz val="11"/>
        <rFont val="Arial"/>
        <family val="0"/>
        <charset val="1"/>
      </rPr>
      <t xml:space="preserve">FX </t>
    </r>
    <r>
      <rPr>
        <sz val="11"/>
        <rFont val="Noto Sans CJK SC"/>
        <family val="2"/>
      </rPr>
      <t xml:space="preserve">및 원자재</t>
    </r>
  </si>
  <si>
    <t xml:space="preserve">A292560</t>
  </si>
  <si>
    <r>
      <rPr>
        <sz val="11"/>
        <rFont val="Arial"/>
        <family val="0"/>
        <charset val="1"/>
      </rPr>
      <t xml:space="preserve">TIGER </t>
    </r>
    <r>
      <rPr>
        <sz val="11"/>
        <rFont val="Noto Sans CJK SC"/>
        <family val="2"/>
      </rPr>
      <t xml:space="preserve">일본엔선물</t>
    </r>
  </si>
  <si>
    <t xml:space="preserve">엔선물지수</t>
  </si>
  <si>
    <t xml:space="preserve">A489000</t>
  </si>
  <si>
    <r>
      <rPr>
        <sz val="11"/>
        <rFont val="Arial"/>
        <family val="0"/>
        <charset val="1"/>
      </rPr>
      <t xml:space="preserve">PLUS </t>
    </r>
    <r>
      <rPr>
        <sz val="11"/>
        <rFont val="Noto Sans CJK SC"/>
        <family val="2"/>
      </rPr>
      <t xml:space="preserve">일본엔화초단기국채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합성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</si>
  <si>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KAP </t>
    </r>
    <r>
      <rPr>
        <sz val="11"/>
        <rFont val="Noto Sans CJK SC"/>
        <family val="2"/>
      </rPr>
      <t xml:space="preserve">일본 단기 국채 지수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총수익</t>
    </r>
    <r>
      <rPr>
        <sz val="11"/>
        <rFont val="Arial"/>
        <family val="0"/>
        <charset val="1"/>
      </rPr>
      <t xml:space="preserve">)</t>
    </r>
  </si>
  <si>
    <t xml:space="preserve">A5</t>
  </si>
  <si>
    <r>
      <rPr>
        <sz val="11"/>
        <rFont val="Noto Sans CJK SC"/>
        <family val="2"/>
      </rPr>
      <t xml:space="preserve">금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인플레헤지</t>
    </r>
  </si>
  <si>
    <t xml:space="preserve">A411060</t>
  </si>
  <si>
    <r>
      <rPr>
        <sz val="11"/>
        <rFont val="Arial"/>
        <family val="0"/>
        <charset val="1"/>
      </rPr>
      <t xml:space="preserve">ACE KRX</t>
    </r>
    <r>
      <rPr>
        <sz val="11"/>
        <rFont val="Noto Sans CJK SC"/>
        <family val="2"/>
      </rPr>
      <t xml:space="preserve">금현물</t>
    </r>
  </si>
  <si>
    <r>
      <rPr>
        <sz val="11"/>
        <rFont val="Arial"/>
        <family val="0"/>
        <charset val="1"/>
      </rPr>
      <t xml:space="preserve">KRX </t>
    </r>
    <r>
      <rPr>
        <sz val="11"/>
        <rFont val="Noto Sans CJK SC"/>
        <family val="2"/>
      </rPr>
      <t xml:space="preserve">금현물지수</t>
    </r>
  </si>
  <si>
    <t xml:space="preserve">A144600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</si>
  <si>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은선물</t>
    </r>
    <r>
      <rPr>
        <sz val="11"/>
        <rFont val="Arial"/>
        <family val="0"/>
        <charset val="1"/>
      </rPr>
      <t xml:space="preserve">(H)</t>
    </r>
  </si>
  <si>
    <t xml:space="preserve">S&amp;P GSCI Silver Index(TR)</t>
  </si>
  <si>
    <t xml:space="preserve">A132030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</si>
  <si>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골드선물</t>
    </r>
    <r>
      <rPr>
        <sz val="11"/>
        <rFont val="Arial"/>
        <family val="0"/>
        <charset val="1"/>
      </rPr>
      <t xml:space="preserve">(H)</t>
    </r>
  </si>
  <si>
    <t xml:space="preserve">S&amp;P GSCI Gold Index(TR)</t>
  </si>
  <si>
    <t xml:space="preserve">A468370</t>
  </si>
  <si>
    <r>
      <rPr>
        <sz val="11"/>
        <rFont val="Arial"/>
        <family val="0"/>
        <charset val="1"/>
      </rPr>
      <t xml:space="preserve">KODEX iShares</t>
    </r>
    <r>
      <rPr>
        <sz val="11"/>
        <rFont val="Noto Sans CJK SC"/>
        <family val="2"/>
      </rPr>
      <t xml:space="preserve">미국인플레이션국채액티브</t>
    </r>
  </si>
  <si>
    <t xml:space="preserve">ICE U.S. Treasury Inflation Linked Bond Index(Total Return)</t>
  </si>
  <si>
    <t xml:space="preserve">A430500</t>
  </si>
  <si>
    <r>
      <rPr>
        <sz val="11"/>
        <rFont val="Arial"/>
        <family val="0"/>
        <charset val="1"/>
      </rPr>
      <t xml:space="preserve">KIWOOM </t>
    </r>
    <r>
      <rPr>
        <sz val="11"/>
        <rFont val="Noto Sans CJK SC"/>
        <family val="2"/>
      </rPr>
      <t xml:space="preserve">물가채</t>
    </r>
    <r>
      <rPr>
        <sz val="11"/>
        <rFont val="Arial"/>
        <family val="0"/>
        <charset val="1"/>
      </rPr>
      <t xml:space="preserve">KIS</t>
    </r>
  </si>
  <si>
    <r>
      <rPr>
        <sz val="11"/>
        <rFont val="Arial"/>
        <family val="0"/>
        <charset val="1"/>
      </rPr>
      <t xml:space="preserve">KIS TIPS </t>
    </r>
    <r>
      <rPr>
        <sz val="11"/>
        <rFont val="Noto Sans CJK SC"/>
        <family val="2"/>
      </rPr>
      <t xml:space="preserve">지수 </t>
    </r>
    <r>
      <rPr>
        <sz val="11"/>
        <rFont val="Arial"/>
        <family val="0"/>
        <charset val="1"/>
      </rPr>
      <t xml:space="preserve">(Total Return)</t>
    </r>
  </si>
  <si>
    <t xml:space="preserve">성장</t>
  </si>
  <si>
    <t xml:space="preserve">B1</t>
  </si>
  <si>
    <r>
      <rPr>
        <sz val="11"/>
        <rFont val="Noto Sans CJK SC"/>
        <family val="2"/>
      </rPr>
      <t xml:space="preserve">한국주식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브로드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시클리컬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테마</t>
    </r>
    <r>
      <rPr>
        <sz val="11"/>
        <rFont val="Arial"/>
        <family val="0"/>
        <charset val="1"/>
      </rPr>
      <t xml:space="preserve">)</t>
    </r>
  </si>
  <si>
    <t xml:space="preserve">A069500</t>
  </si>
  <si>
    <t xml:space="preserve">KODEX 200</t>
  </si>
  <si>
    <r>
      <rPr>
        <sz val="11"/>
        <rFont val="Noto Sans CJK SC"/>
        <family val="2"/>
      </rPr>
      <t xml:space="preserve">코스피 </t>
    </r>
    <r>
      <rPr>
        <sz val="11"/>
        <rFont val="Arial"/>
        <family val="0"/>
        <charset val="1"/>
      </rPr>
      <t xml:space="preserve">200</t>
    </r>
  </si>
  <si>
    <r>
      <rPr>
        <sz val="11"/>
        <rFont val="Noto Sans CJK SC"/>
        <family val="2"/>
      </rPr>
      <t xml:space="preserve">국내주식</t>
    </r>
    <r>
      <rPr>
        <sz val="11"/>
        <rFont val="Arial"/>
        <family val="0"/>
        <charset val="1"/>
      </rPr>
      <t xml:space="preserve">_</t>
    </r>
    <r>
      <rPr>
        <sz val="11"/>
        <rFont val="Noto Sans CJK SC"/>
        <family val="2"/>
      </rPr>
      <t xml:space="preserve">지수</t>
    </r>
  </si>
  <si>
    <t xml:space="preserve">A229200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</si>
  <si>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코스닥</t>
    </r>
    <r>
      <rPr>
        <sz val="11"/>
        <rFont val="Arial"/>
        <family val="0"/>
        <charset val="1"/>
      </rPr>
      <t xml:space="preserve">150</t>
    </r>
  </si>
  <si>
    <r>
      <rPr>
        <sz val="11"/>
        <rFont val="Noto Sans CJK SC"/>
        <family val="2"/>
      </rPr>
      <t xml:space="preserve">코스닥 </t>
    </r>
    <r>
      <rPr>
        <sz val="11"/>
        <rFont val="Arial"/>
        <family val="0"/>
        <charset val="1"/>
      </rPr>
      <t xml:space="preserve">150</t>
    </r>
  </si>
  <si>
    <t xml:space="preserve">A102110</t>
  </si>
  <si>
    <t xml:space="preserve">TIGER 200</t>
  </si>
  <si>
    <t xml:space="preserve">A278530</t>
  </si>
  <si>
    <t xml:space="preserve">KODEX 200TR</t>
  </si>
  <si>
    <r>
      <rPr>
        <sz val="11"/>
        <rFont val="Noto Sans CJK SC"/>
        <family val="2"/>
      </rPr>
      <t xml:space="preserve">코스피 </t>
    </r>
    <r>
      <rPr>
        <sz val="11"/>
        <rFont val="Arial"/>
        <family val="0"/>
        <charset val="1"/>
      </rPr>
      <t xml:space="preserve">200 TR</t>
    </r>
    <r>
      <rPr>
        <sz val="11"/>
        <rFont val="Noto Sans CJK SC"/>
        <family val="2"/>
      </rPr>
      <t xml:space="preserve">지수</t>
    </r>
  </si>
  <si>
    <t xml:space="preserve">A310970</t>
  </si>
  <si>
    <t xml:space="preserve">TIGER MSCI Korea TR</t>
  </si>
  <si>
    <t xml:space="preserve">MSCI Korea TR Index</t>
  </si>
  <si>
    <t xml:space="preserve">A148020</t>
  </si>
  <si>
    <t xml:space="preserve">RISE 200</t>
  </si>
  <si>
    <t xml:space="preserve">A102780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</si>
  <si>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삼성그룹</t>
    </r>
  </si>
  <si>
    <r>
      <rPr>
        <sz val="11"/>
        <rFont val="Arial"/>
        <family val="0"/>
        <charset val="1"/>
      </rPr>
      <t xml:space="preserve">MKF </t>
    </r>
    <r>
      <rPr>
        <sz val="11"/>
        <rFont val="Noto Sans CJK SC"/>
        <family val="2"/>
      </rPr>
      <t xml:space="preserve">삼성그룹지수</t>
    </r>
  </si>
  <si>
    <r>
      <rPr>
        <sz val="11"/>
        <rFont val="Noto Sans CJK SC"/>
        <family val="2"/>
      </rPr>
      <t xml:space="preserve">국내주식</t>
    </r>
    <r>
      <rPr>
        <sz val="11"/>
        <rFont val="Arial"/>
        <family val="0"/>
        <charset val="1"/>
      </rPr>
      <t xml:space="preserve">_</t>
    </r>
    <r>
      <rPr>
        <sz val="11"/>
        <rFont val="Noto Sans CJK SC"/>
        <family val="2"/>
      </rPr>
      <t xml:space="preserve">섹터</t>
    </r>
  </si>
  <si>
    <t xml:space="preserve">A232080</t>
  </si>
  <si>
    <r>
      <rPr>
        <sz val="11"/>
        <rFont val="Arial"/>
        <family val="0"/>
        <charset val="1"/>
      </rPr>
      <t xml:space="preserve">TIGER </t>
    </r>
    <r>
      <rPr>
        <sz val="11"/>
        <rFont val="Noto Sans CJK SC"/>
        <family val="2"/>
      </rPr>
      <t xml:space="preserve">코스닥</t>
    </r>
    <r>
      <rPr>
        <sz val="11"/>
        <rFont val="Arial"/>
        <family val="0"/>
        <charset val="1"/>
      </rPr>
      <t xml:space="preserve">150</t>
    </r>
  </si>
  <si>
    <t xml:space="preserve">A278540</t>
  </si>
  <si>
    <t xml:space="preserve">KODEX MSCI Korea TR</t>
  </si>
  <si>
    <t xml:space="preserve">A466920</t>
  </si>
  <si>
    <r>
      <rPr>
        <sz val="11"/>
        <rFont val="Arial"/>
        <family val="0"/>
        <charset val="1"/>
      </rPr>
      <t xml:space="preserve">SOL </t>
    </r>
    <r>
      <rPr>
        <sz val="11"/>
        <rFont val="Noto Sans CJK SC"/>
        <family val="2"/>
      </rPr>
      <t xml:space="preserve">조선</t>
    </r>
    <r>
      <rPr>
        <sz val="11"/>
        <rFont val="Arial"/>
        <family val="0"/>
        <charset val="1"/>
      </rPr>
      <t xml:space="preserve">TOP3</t>
    </r>
    <r>
      <rPr>
        <sz val="11"/>
        <rFont val="Noto Sans CJK SC"/>
        <family val="2"/>
      </rPr>
      <t xml:space="preserve">플러스</t>
    </r>
  </si>
  <si>
    <r>
      <rPr>
        <sz val="11"/>
        <rFont val="Arial"/>
        <family val="0"/>
        <charset val="1"/>
      </rPr>
      <t xml:space="preserve">FnGuide </t>
    </r>
    <r>
      <rPr>
        <sz val="11"/>
        <rFont val="Noto Sans CJK SC"/>
        <family val="2"/>
      </rPr>
      <t xml:space="preserve">조선</t>
    </r>
    <r>
      <rPr>
        <sz val="11"/>
        <rFont val="Arial"/>
        <family val="0"/>
        <charset val="1"/>
      </rPr>
      <t xml:space="preserve">TOP3</t>
    </r>
    <r>
      <rPr>
        <sz val="11"/>
        <rFont val="Noto Sans CJK SC"/>
        <family val="2"/>
      </rPr>
      <t xml:space="preserve">플러스지수</t>
    </r>
    <r>
      <rPr>
        <sz val="11"/>
        <rFont val="Arial"/>
        <family val="0"/>
        <charset val="1"/>
      </rPr>
      <t xml:space="preserve">(PR)</t>
    </r>
  </si>
  <si>
    <t xml:space="preserve">A449450</t>
  </si>
  <si>
    <r>
      <rPr>
        <sz val="11"/>
        <rFont val="Arial"/>
        <family val="0"/>
        <charset val="1"/>
      </rPr>
      <t xml:space="preserve">PLUS K</t>
    </r>
    <r>
      <rPr>
        <sz val="11"/>
        <rFont val="Noto Sans CJK SC"/>
        <family val="2"/>
      </rPr>
      <t xml:space="preserve">방산</t>
    </r>
  </si>
  <si>
    <r>
      <rPr>
        <sz val="11"/>
        <rFont val="Arial"/>
        <family val="0"/>
        <charset val="1"/>
      </rPr>
      <t xml:space="preserve">FnGuide K-</t>
    </r>
    <r>
      <rPr>
        <sz val="11"/>
        <rFont val="Noto Sans CJK SC"/>
        <family val="2"/>
      </rPr>
      <t xml:space="preserve">방위산업 지수</t>
    </r>
  </si>
  <si>
    <t xml:space="preserve">A294400</t>
  </si>
  <si>
    <t xml:space="preserve">KIWOOM 200TR</t>
  </si>
  <si>
    <t xml:space="preserve">A315930</t>
  </si>
  <si>
    <t xml:space="preserve">KODEX Top5PlusTR</t>
  </si>
  <si>
    <r>
      <rPr>
        <sz val="11"/>
        <rFont val="Arial"/>
        <family val="0"/>
        <charset val="1"/>
      </rPr>
      <t xml:space="preserve">FnGuide TOP 5 Plus Total Return </t>
    </r>
    <r>
      <rPr>
        <sz val="11"/>
        <rFont val="Noto Sans CJK SC"/>
        <family val="2"/>
      </rPr>
      <t xml:space="preserve">지수</t>
    </r>
  </si>
  <si>
    <t xml:space="preserve">A152100</t>
  </si>
  <si>
    <t xml:space="preserve">PLUS 200</t>
  </si>
  <si>
    <t xml:space="preserve">A494670</t>
  </si>
  <si>
    <r>
      <rPr>
        <sz val="11"/>
        <rFont val="Arial"/>
        <family val="0"/>
        <charset val="1"/>
      </rPr>
      <t xml:space="preserve">TIGER </t>
    </r>
    <r>
      <rPr>
        <sz val="11"/>
        <rFont val="Noto Sans CJK SC"/>
        <family val="2"/>
      </rPr>
      <t xml:space="preserve">조선</t>
    </r>
    <r>
      <rPr>
        <sz val="11"/>
        <rFont val="Arial"/>
        <family val="0"/>
        <charset val="1"/>
      </rPr>
      <t xml:space="preserve">TOP10</t>
    </r>
  </si>
  <si>
    <r>
      <rPr>
        <sz val="11"/>
        <rFont val="Arial"/>
        <family val="0"/>
        <charset val="1"/>
      </rPr>
      <t xml:space="preserve">iSelect </t>
    </r>
    <r>
      <rPr>
        <sz val="11"/>
        <rFont val="Noto Sans CJK SC"/>
        <family val="2"/>
      </rPr>
      <t xml:space="preserve">조선</t>
    </r>
    <r>
      <rPr>
        <sz val="11"/>
        <rFont val="Arial"/>
        <family val="0"/>
        <charset val="1"/>
      </rPr>
      <t xml:space="preserve">TOP10 Index(PR)</t>
    </r>
  </si>
  <si>
    <t xml:space="preserve">A463250</t>
  </si>
  <si>
    <r>
      <rPr>
        <sz val="11"/>
        <rFont val="Arial"/>
        <family val="0"/>
        <charset val="1"/>
      </rPr>
      <t xml:space="preserve">TIGER K</t>
    </r>
    <r>
      <rPr>
        <sz val="11"/>
        <rFont val="Noto Sans CJK SC"/>
        <family val="2"/>
      </rPr>
      <t xml:space="preserve">방산</t>
    </r>
    <r>
      <rPr>
        <sz val="11"/>
        <rFont val="Arial"/>
        <family val="0"/>
        <charset val="1"/>
      </rPr>
      <t xml:space="preserve">&amp;</t>
    </r>
    <r>
      <rPr>
        <sz val="11"/>
        <rFont val="Noto Sans CJK SC"/>
        <family val="2"/>
      </rPr>
      <t xml:space="preserve">우주</t>
    </r>
  </si>
  <si>
    <r>
      <rPr>
        <sz val="11"/>
        <rFont val="Arial"/>
        <family val="0"/>
        <charset val="1"/>
      </rPr>
      <t xml:space="preserve">iSelect K</t>
    </r>
    <r>
      <rPr>
        <sz val="11"/>
        <rFont val="Noto Sans CJK SC"/>
        <family val="2"/>
      </rPr>
      <t xml:space="preserve">방산</t>
    </r>
    <r>
      <rPr>
        <sz val="11"/>
        <rFont val="Arial"/>
        <family val="0"/>
        <charset val="1"/>
      </rPr>
      <t xml:space="preserve">&amp;</t>
    </r>
    <r>
      <rPr>
        <sz val="11"/>
        <rFont val="Noto Sans CJK SC"/>
        <family val="2"/>
      </rPr>
      <t xml:space="preserve">우주</t>
    </r>
  </si>
  <si>
    <t xml:space="preserve">A226490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</si>
  <si>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코스피</t>
    </r>
  </si>
  <si>
    <t xml:space="preserve">코스피지수</t>
  </si>
  <si>
    <t xml:space="preserve">A434730</t>
  </si>
  <si>
    <r>
      <rPr>
        <sz val="11"/>
        <rFont val="Arial"/>
        <family val="0"/>
        <charset val="1"/>
      </rPr>
      <t xml:space="preserve">HANARO </t>
    </r>
    <r>
      <rPr>
        <sz val="11"/>
        <rFont val="Noto Sans CJK SC"/>
        <family val="2"/>
      </rPr>
      <t xml:space="preserve">원자력</t>
    </r>
    <r>
      <rPr>
        <sz val="11"/>
        <rFont val="Arial"/>
        <family val="0"/>
        <charset val="1"/>
      </rPr>
      <t xml:space="preserve">iSelect</t>
    </r>
  </si>
  <si>
    <r>
      <rPr>
        <sz val="11"/>
        <rFont val="Arial"/>
        <family val="0"/>
        <charset val="1"/>
      </rPr>
      <t xml:space="preserve">iSelect </t>
    </r>
    <r>
      <rPr>
        <sz val="11"/>
        <rFont val="Noto Sans CJK SC"/>
        <family val="2"/>
      </rPr>
      <t xml:space="preserve">원자력지수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시장가격</t>
    </r>
    <r>
      <rPr>
        <sz val="11"/>
        <rFont val="Arial"/>
        <family val="0"/>
        <charset val="1"/>
      </rPr>
      <t xml:space="preserve">)</t>
    </r>
  </si>
  <si>
    <t xml:space="preserve">A091180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</si>
  <si>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자동차</t>
    </r>
  </si>
  <si>
    <r>
      <rPr>
        <sz val="11"/>
        <rFont val="Arial"/>
        <family val="0"/>
        <charset val="1"/>
      </rPr>
      <t xml:space="preserve">KRX </t>
    </r>
    <r>
      <rPr>
        <sz val="11"/>
        <rFont val="Noto Sans CJK SC"/>
        <family val="2"/>
      </rPr>
      <t xml:space="preserve">자동차</t>
    </r>
  </si>
  <si>
    <t xml:space="preserve">A091170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</si>
  <si>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은행</t>
    </r>
  </si>
  <si>
    <r>
      <rPr>
        <sz val="11"/>
        <rFont val="Arial"/>
        <family val="0"/>
        <charset val="1"/>
      </rPr>
      <t xml:space="preserve">KRX </t>
    </r>
    <r>
      <rPr>
        <sz val="11"/>
        <rFont val="Noto Sans CJK SC"/>
        <family val="2"/>
      </rPr>
      <t xml:space="preserve">은행</t>
    </r>
  </si>
  <si>
    <t xml:space="preserve">A139230</t>
  </si>
  <si>
    <r>
      <rPr>
        <sz val="11"/>
        <rFont val="Arial"/>
        <family val="0"/>
        <charset val="1"/>
      </rPr>
      <t xml:space="preserve">TIGER 200 </t>
    </r>
    <r>
      <rPr>
        <sz val="11"/>
        <rFont val="Noto Sans CJK SC"/>
        <family val="2"/>
      </rPr>
      <t xml:space="preserve">중공업</t>
    </r>
  </si>
  <si>
    <r>
      <rPr>
        <sz val="11"/>
        <rFont val="Noto Sans CJK SC"/>
        <family val="2"/>
      </rPr>
      <t xml:space="preserve">코스피 </t>
    </r>
    <r>
      <rPr>
        <sz val="11"/>
        <rFont val="Arial"/>
        <family val="0"/>
        <charset val="1"/>
      </rPr>
      <t xml:space="preserve">200 </t>
    </r>
    <r>
      <rPr>
        <sz val="11"/>
        <rFont val="Noto Sans CJK SC"/>
        <family val="2"/>
      </rPr>
      <t xml:space="preserve">중공업</t>
    </r>
  </si>
  <si>
    <t xml:space="preserve">A361580</t>
  </si>
  <si>
    <t xml:space="preserve">RISE 200TR</t>
  </si>
  <si>
    <t xml:space="preserve">A277630</t>
  </si>
  <si>
    <r>
      <rPr>
        <sz val="11"/>
        <rFont val="Arial"/>
        <family val="0"/>
        <charset val="1"/>
      </rPr>
      <t xml:space="preserve">TIGER </t>
    </r>
    <r>
      <rPr>
        <sz val="11"/>
        <rFont val="Noto Sans CJK SC"/>
        <family val="2"/>
      </rPr>
      <t xml:space="preserve">코스피</t>
    </r>
  </si>
  <si>
    <t xml:space="preserve">A295040</t>
  </si>
  <si>
    <t xml:space="preserve">SOL 200TR</t>
  </si>
  <si>
    <t xml:space="preserve">A302450</t>
  </si>
  <si>
    <r>
      <rPr>
        <sz val="11"/>
        <rFont val="Arial"/>
        <family val="0"/>
        <charset val="1"/>
      </rPr>
      <t xml:space="preserve">RISE </t>
    </r>
    <r>
      <rPr>
        <sz val="11"/>
        <rFont val="Noto Sans CJK SC"/>
        <family val="2"/>
      </rPr>
      <t xml:space="preserve">코스피</t>
    </r>
  </si>
  <si>
    <t xml:space="preserve">A325010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</si>
  <si>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성장주</t>
    </r>
  </si>
  <si>
    <r>
      <rPr>
        <sz val="11"/>
        <rFont val="Arial"/>
        <family val="0"/>
        <charset val="1"/>
      </rPr>
      <t xml:space="preserve">FnGuide </t>
    </r>
    <r>
      <rPr>
        <sz val="11"/>
        <rFont val="Noto Sans CJK SC"/>
        <family val="2"/>
      </rPr>
      <t xml:space="preserve">성장 지수</t>
    </r>
    <r>
      <rPr>
        <sz val="11"/>
        <rFont val="Arial"/>
        <family val="0"/>
        <charset val="1"/>
      </rPr>
      <t xml:space="preserve">(PR)</t>
    </r>
  </si>
  <si>
    <t xml:space="preserve">A328370</t>
  </si>
  <si>
    <r>
      <rPr>
        <sz val="11"/>
        <rFont val="Arial"/>
        <family val="0"/>
        <charset val="1"/>
      </rPr>
      <t xml:space="preserve">PLUS </t>
    </r>
    <r>
      <rPr>
        <sz val="11"/>
        <rFont val="Noto Sans CJK SC"/>
        <family val="2"/>
      </rPr>
      <t xml:space="preserve">코스피</t>
    </r>
    <r>
      <rPr>
        <sz val="11"/>
        <rFont val="Arial"/>
        <family val="0"/>
        <charset val="1"/>
      </rPr>
      <t xml:space="preserve">TR</t>
    </r>
  </si>
  <si>
    <r>
      <rPr>
        <sz val="11"/>
        <rFont val="Noto Sans CJK SC"/>
        <family val="2"/>
      </rPr>
      <t xml:space="preserve">코스피 </t>
    </r>
    <r>
      <rPr>
        <sz val="11"/>
        <rFont val="Arial"/>
        <family val="0"/>
        <charset val="1"/>
      </rPr>
      <t xml:space="preserve">TR</t>
    </r>
  </si>
  <si>
    <t xml:space="preserve">A139220</t>
  </si>
  <si>
    <r>
      <rPr>
        <sz val="11"/>
        <rFont val="Arial"/>
        <family val="0"/>
        <charset val="1"/>
      </rPr>
      <t xml:space="preserve">TIGER 200 </t>
    </r>
    <r>
      <rPr>
        <sz val="11"/>
        <rFont val="Noto Sans CJK SC"/>
        <family val="2"/>
      </rPr>
      <t xml:space="preserve">건설</t>
    </r>
  </si>
  <si>
    <r>
      <rPr>
        <sz val="11"/>
        <rFont val="Noto Sans CJK SC"/>
        <family val="2"/>
      </rPr>
      <t xml:space="preserve">코스피 </t>
    </r>
    <r>
      <rPr>
        <sz val="11"/>
        <rFont val="Arial"/>
        <family val="0"/>
        <charset val="1"/>
      </rPr>
      <t xml:space="preserve">200 </t>
    </r>
    <r>
      <rPr>
        <sz val="11"/>
        <rFont val="Noto Sans CJK SC"/>
        <family val="2"/>
      </rPr>
      <t xml:space="preserve">건설</t>
    </r>
  </si>
  <si>
    <t xml:space="preserve">A139270</t>
  </si>
  <si>
    <r>
      <rPr>
        <sz val="11"/>
        <rFont val="Arial"/>
        <family val="0"/>
        <charset val="1"/>
      </rPr>
      <t xml:space="preserve">TIGER 200 </t>
    </r>
    <r>
      <rPr>
        <sz val="11"/>
        <rFont val="Noto Sans CJK SC"/>
        <family val="2"/>
      </rPr>
      <t xml:space="preserve">금융</t>
    </r>
  </si>
  <si>
    <r>
      <rPr>
        <sz val="11"/>
        <rFont val="Noto Sans CJK SC"/>
        <family val="2"/>
      </rPr>
      <t xml:space="preserve">코스피 </t>
    </r>
    <r>
      <rPr>
        <sz val="11"/>
        <rFont val="Arial"/>
        <family val="0"/>
        <charset val="1"/>
      </rPr>
      <t xml:space="preserve">200 </t>
    </r>
    <r>
      <rPr>
        <sz val="11"/>
        <rFont val="Noto Sans CJK SC"/>
        <family val="2"/>
      </rPr>
      <t xml:space="preserve">금융</t>
    </r>
  </si>
  <si>
    <t xml:space="preserve">A156080</t>
  </si>
  <si>
    <t xml:space="preserve">KODEX MSCI Korea</t>
  </si>
  <si>
    <t xml:space="preserve">MSCI Korea Index</t>
  </si>
  <si>
    <t xml:space="preserve">A147970</t>
  </si>
  <si>
    <r>
      <rPr>
        <sz val="11"/>
        <rFont val="Arial"/>
        <family val="0"/>
        <charset val="1"/>
      </rPr>
      <t xml:space="preserve">TIGER </t>
    </r>
    <r>
      <rPr>
        <sz val="11"/>
        <rFont val="Noto Sans CJK SC"/>
        <family val="2"/>
      </rPr>
      <t xml:space="preserve">모멘텀</t>
    </r>
  </si>
  <si>
    <r>
      <rPr>
        <sz val="11"/>
        <rFont val="Arial"/>
        <family val="0"/>
        <charset val="1"/>
      </rPr>
      <t xml:space="preserve">FnGuide </t>
    </r>
    <r>
      <rPr>
        <sz val="11"/>
        <rFont val="Noto Sans CJK SC"/>
        <family val="2"/>
      </rPr>
      <t xml:space="preserve">모멘텀 지수</t>
    </r>
  </si>
  <si>
    <t xml:space="preserve">A227550</t>
  </si>
  <si>
    <r>
      <rPr>
        <sz val="11"/>
        <rFont val="Arial"/>
        <family val="0"/>
        <charset val="1"/>
      </rPr>
      <t xml:space="preserve">TIGER 200 </t>
    </r>
    <r>
      <rPr>
        <sz val="11"/>
        <rFont val="Noto Sans CJK SC"/>
        <family val="2"/>
      </rPr>
      <t xml:space="preserve">산업재</t>
    </r>
  </si>
  <si>
    <r>
      <rPr>
        <sz val="11"/>
        <rFont val="Noto Sans CJK SC"/>
        <family val="2"/>
      </rPr>
      <t xml:space="preserve">코스피 </t>
    </r>
    <r>
      <rPr>
        <sz val="11"/>
        <rFont val="Arial"/>
        <family val="0"/>
        <charset val="1"/>
      </rPr>
      <t xml:space="preserve">200 </t>
    </r>
    <r>
      <rPr>
        <sz val="11"/>
        <rFont val="Noto Sans CJK SC"/>
        <family val="2"/>
      </rPr>
      <t xml:space="preserve">산업재</t>
    </r>
  </si>
  <si>
    <t xml:space="preserve">A139290</t>
  </si>
  <si>
    <r>
      <rPr>
        <sz val="11"/>
        <rFont val="Arial"/>
        <family val="0"/>
        <charset val="1"/>
      </rPr>
      <t xml:space="preserve">TIGER 200 </t>
    </r>
    <r>
      <rPr>
        <sz val="11"/>
        <rFont val="Noto Sans CJK SC"/>
        <family val="2"/>
      </rPr>
      <t xml:space="preserve">경기소비재</t>
    </r>
  </si>
  <si>
    <r>
      <rPr>
        <sz val="11"/>
        <rFont val="Noto Sans CJK SC"/>
        <family val="2"/>
      </rPr>
      <t xml:space="preserve">코스피 </t>
    </r>
    <r>
      <rPr>
        <sz val="11"/>
        <rFont val="Arial"/>
        <family val="0"/>
        <charset val="1"/>
      </rPr>
      <t xml:space="preserve">200 </t>
    </r>
    <r>
      <rPr>
        <sz val="11"/>
        <rFont val="Noto Sans CJK SC"/>
        <family val="2"/>
      </rPr>
      <t xml:space="preserve">경기소비재</t>
    </r>
  </si>
  <si>
    <t xml:space="preserve">A139240</t>
  </si>
  <si>
    <r>
      <rPr>
        <sz val="11"/>
        <rFont val="Arial"/>
        <family val="0"/>
        <charset val="1"/>
      </rPr>
      <t xml:space="preserve">TIGER 200 </t>
    </r>
    <r>
      <rPr>
        <sz val="11"/>
        <rFont val="Noto Sans CJK SC"/>
        <family val="2"/>
      </rPr>
      <t xml:space="preserve">철강소재</t>
    </r>
  </si>
  <si>
    <r>
      <rPr>
        <sz val="11"/>
        <rFont val="Noto Sans CJK SC"/>
        <family val="2"/>
      </rPr>
      <t xml:space="preserve">코스피 </t>
    </r>
    <r>
      <rPr>
        <sz val="11"/>
        <rFont val="Arial"/>
        <family val="0"/>
        <charset val="1"/>
      </rPr>
      <t xml:space="preserve">200 </t>
    </r>
    <r>
      <rPr>
        <sz val="11"/>
        <rFont val="Noto Sans CJK SC"/>
        <family val="2"/>
      </rPr>
      <t xml:space="preserve">철강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소재</t>
    </r>
  </si>
  <si>
    <t xml:space="preserve">B2</t>
  </si>
  <si>
    <r>
      <rPr>
        <sz val="11"/>
        <rFont val="Noto Sans CJK SC"/>
        <family val="2"/>
      </rPr>
      <t xml:space="preserve">미국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선진 코어주식</t>
    </r>
  </si>
  <si>
    <t xml:space="preserve">A360750</t>
  </si>
  <si>
    <r>
      <rPr>
        <sz val="11"/>
        <rFont val="Arial"/>
        <family val="0"/>
        <charset val="1"/>
      </rPr>
      <t xml:space="preserve">TIGER </t>
    </r>
    <r>
      <rPr>
        <sz val="11"/>
        <rFont val="Noto Sans CJK SC"/>
        <family val="2"/>
      </rPr>
      <t xml:space="preserve">미국</t>
    </r>
    <r>
      <rPr>
        <sz val="11"/>
        <rFont val="Arial"/>
        <family val="0"/>
        <charset val="1"/>
      </rPr>
      <t xml:space="preserve">S&amp;P500</t>
    </r>
  </si>
  <si>
    <t xml:space="preserve">S&amp;P 500</t>
  </si>
  <si>
    <r>
      <rPr>
        <sz val="11"/>
        <rFont val="Noto Sans CJK SC"/>
        <family val="2"/>
      </rPr>
      <t xml:space="preserve">해외주식</t>
    </r>
    <r>
      <rPr>
        <sz val="11"/>
        <rFont val="Arial"/>
        <family val="0"/>
        <charset val="1"/>
      </rPr>
      <t xml:space="preserve">_</t>
    </r>
    <r>
      <rPr>
        <sz val="11"/>
        <rFont val="Noto Sans CJK SC"/>
        <family val="2"/>
      </rPr>
      <t xml:space="preserve">지수</t>
    </r>
  </si>
  <si>
    <t xml:space="preserve">A379800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</si>
  <si>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미국</t>
    </r>
    <r>
      <rPr>
        <sz val="11"/>
        <rFont val="Arial"/>
        <family val="0"/>
        <charset val="1"/>
      </rPr>
      <t xml:space="preserve">S&amp;P500</t>
    </r>
  </si>
  <si>
    <t xml:space="preserve">A133690</t>
  </si>
  <si>
    <r>
      <rPr>
        <sz val="11"/>
        <rFont val="Arial"/>
        <family val="0"/>
        <charset val="1"/>
      </rPr>
      <t xml:space="preserve">TIGER </t>
    </r>
    <r>
      <rPr>
        <sz val="11"/>
        <rFont val="Noto Sans CJK SC"/>
        <family val="2"/>
      </rPr>
      <t xml:space="preserve">미국나스닥</t>
    </r>
    <r>
      <rPr>
        <sz val="11"/>
        <rFont val="Arial"/>
        <family val="0"/>
        <charset val="1"/>
      </rPr>
      <t xml:space="preserve">100</t>
    </r>
  </si>
  <si>
    <t xml:space="preserve">NASDAQ 100</t>
  </si>
  <si>
    <t xml:space="preserve">A379810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</si>
  <si>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미국나스닥</t>
    </r>
    <r>
      <rPr>
        <sz val="11"/>
        <rFont val="Arial"/>
        <family val="0"/>
        <charset val="1"/>
      </rPr>
      <t xml:space="preserve">100</t>
    </r>
  </si>
  <si>
    <t xml:space="preserve">A360200</t>
  </si>
  <si>
    <r>
      <rPr>
        <sz val="11"/>
        <rFont val="Arial"/>
        <family val="0"/>
        <charset val="1"/>
      </rPr>
      <t xml:space="preserve">ACE </t>
    </r>
    <r>
      <rPr>
        <sz val="11"/>
        <rFont val="Noto Sans CJK SC"/>
        <family val="2"/>
      </rPr>
      <t xml:space="preserve">미국</t>
    </r>
    <r>
      <rPr>
        <sz val="11"/>
        <rFont val="Arial"/>
        <family val="0"/>
        <charset val="1"/>
      </rPr>
      <t xml:space="preserve">S&amp;P500</t>
    </r>
  </si>
  <si>
    <t xml:space="preserve">A367380</t>
  </si>
  <si>
    <r>
      <rPr>
        <sz val="11"/>
        <rFont val="Arial"/>
        <family val="0"/>
        <charset val="1"/>
      </rPr>
      <t xml:space="preserve">ACE </t>
    </r>
    <r>
      <rPr>
        <sz val="11"/>
        <rFont val="Noto Sans CJK SC"/>
        <family val="2"/>
      </rPr>
      <t xml:space="preserve">미국나스닥</t>
    </r>
    <r>
      <rPr>
        <sz val="11"/>
        <rFont val="Arial"/>
        <family val="0"/>
        <charset val="1"/>
      </rPr>
      <t xml:space="preserve">100</t>
    </r>
  </si>
  <si>
    <t xml:space="preserve">A379780</t>
  </si>
  <si>
    <r>
      <rPr>
        <sz val="11"/>
        <rFont val="Arial"/>
        <family val="0"/>
        <charset val="1"/>
      </rPr>
      <t xml:space="preserve">RISE </t>
    </r>
    <r>
      <rPr>
        <sz val="11"/>
        <rFont val="Noto Sans CJK SC"/>
        <family val="2"/>
      </rPr>
      <t xml:space="preserve">미국</t>
    </r>
    <r>
      <rPr>
        <sz val="11"/>
        <rFont val="Arial"/>
        <family val="0"/>
        <charset val="1"/>
      </rPr>
      <t xml:space="preserve">S&amp;P500</t>
    </r>
  </si>
  <si>
    <t xml:space="preserve">A449180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</si>
  <si>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미국</t>
    </r>
    <r>
      <rPr>
        <sz val="11"/>
        <rFont val="Arial"/>
        <family val="0"/>
        <charset val="1"/>
      </rPr>
      <t xml:space="preserve">S&amp;P500(H)</t>
    </r>
  </si>
  <si>
    <t xml:space="preserve">A251350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</si>
  <si>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선진국</t>
    </r>
    <r>
      <rPr>
        <sz val="11"/>
        <rFont val="Arial"/>
        <family val="0"/>
        <charset val="1"/>
      </rPr>
      <t xml:space="preserve">MSCI World</t>
    </r>
  </si>
  <si>
    <t xml:space="preserve">MSCI World</t>
  </si>
  <si>
    <t xml:space="preserve">A448290</t>
  </si>
  <si>
    <r>
      <rPr>
        <sz val="11"/>
        <rFont val="Arial"/>
        <family val="0"/>
        <charset val="1"/>
      </rPr>
      <t xml:space="preserve">TIGER </t>
    </r>
    <r>
      <rPr>
        <sz val="11"/>
        <rFont val="Noto Sans CJK SC"/>
        <family val="2"/>
      </rPr>
      <t xml:space="preserve">미국</t>
    </r>
    <r>
      <rPr>
        <sz val="11"/>
        <rFont val="Arial"/>
        <family val="0"/>
        <charset val="1"/>
      </rPr>
      <t xml:space="preserve">S&amp;P500TR(H)</t>
    </r>
  </si>
  <si>
    <t xml:space="preserve">S&amp;P 500 Total Return Index</t>
  </si>
  <si>
    <t xml:space="preserve">A448300</t>
  </si>
  <si>
    <r>
      <rPr>
        <sz val="11"/>
        <rFont val="Arial"/>
        <family val="0"/>
        <charset val="1"/>
      </rPr>
      <t xml:space="preserve">TIGER </t>
    </r>
    <r>
      <rPr>
        <sz val="11"/>
        <rFont val="Noto Sans CJK SC"/>
        <family val="2"/>
      </rPr>
      <t xml:space="preserve">미국나스닥</t>
    </r>
    <r>
      <rPr>
        <sz val="11"/>
        <rFont val="Arial"/>
        <family val="0"/>
        <charset val="1"/>
      </rPr>
      <t xml:space="preserve">100TR(H)</t>
    </r>
  </si>
  <si>
    <t xml:space="preserve">NASDAQ-100 Total Return Index</t>
  </si>
  <si>
    <t xml:space="preserve">A219480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</si>
  <si>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미국</t>
    </r>
    <r>
      <rPr>
        <sz val="11"/>
        <rFont val="Arial"/>
        <family val="0"/>
        <charset val="1"/>
      </rPr>
      <t xml:space="preserve">S&amp;P500</t>
    </r>
    <r>
      <rPr>
        <sz val="11"/>
        <rFont val="Noto Sans CJK SC"/>
        <family val="2"/>
      </rPr>
      <t xml:space="preserve">선물</t>
    </r>
    <r>
      <rPr>
        <sz val="11"/>
        <rFont val="Arial"/>
        <family val="0"/>
        <charset val="1"/>
      </rPr>
      <t xml:space="preserve">(H)</t>
    </r>
  </si>
  <si>
    <t xml:space="preserve">S&amp;P 500 Futures Total Return Index</t>
  </si>
  <si>
    <t xml:space="preserve">A245340</t>
  </si>
  <si>
    <r>
      <rPr>
        <sz val="11"/>
        <rFont val="Arial"/>
        <family val="0"/>
        <charset val="1"/>
      </rPr>
      <t xml:space="preserve">TIGER </t>
    </r>
    <r>
      <rPr>
        <sz val="11"/>
        <rFont val="Noto Sans CJK SC"/>
        <family val="2"/>
      </rPr>
      <t xml:space="preserve">미국다우존스</t>
    </r>
    <r>
      <rPr>
        <sz val="11"/>
        <rFont val="Arial"/>
        <family val="0"/>
        <charset val="1"/>
      </rPr>
      <t xml:space="preserve">30</t>
    </r>
  </si>
  <si>
    <t xml:space="preserve">Dow Jones Industrial Average</t>
  </si>
  <si>
    <t xml:space="preserve">A488500</t>
  </si>
  <si>
    <r>
      <rPr>
        <sz val="11"/>
        <rFont val="Arial"/>
        <family val="0"/>
        <charset val="1"/>
      </rPr>
      <t xml:space="preserve">TIGER </t>
    </r>
    <r>
      <rPr>
        <sz val="11"/>
        <rFont val="Noto Sans CJK SC"/>
        <family val="2"/>
      </rPr>
      <t xml:space="preserve">미국</t>
    </r>
    <r>
      <rPr>
        <sz val="11"/>
        <rFont val="Arial"/>
        <family val="0"/>
        <charset val="1"/>
      </rPr>
      <t xml:space="preserve">S&amp;P500</t>
    </r>
    <r>
      <rPr>
        <sz val="11"/>
        <rFont val="Noto Sans CJK SC"/>
        <family val="2"/>
      </rPr>
      <t xml:space="preserve">동일가중</t>
    </r>
  </si>
  <si>
    <t xml:space="preserve">S&amp;P 500 Equal Weight Index(PR)</t>
  </si>
  <si>
    <t xml:space="preserve">A304940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</si>
  <si>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미국나스닥</t>
    </r>
    <r>
      <rPr>
        <sz val="11"/>
        <rFont val="Arial"/>
        <family val="0"/>
        <charset val="1"/>
      </rPr>
      <t xml:space="preserve">100</t>
    </r>
    <r>
      <rPr>
        <sz val="11"/>
        <rFont val="Noto Sans CJK SC"/>
        <family val="2"/>
      </rPr>
      <t xml:space="preserve">선물</t>
    </r>
    <r>
      <rPr>
        <sz val="11"/>
        <rFont val="Arial"/>
        <family val="0"/>
        <charset val="1"/>
      </rPr>
      <t xml:space="preserve">(H)</t>
    </r>
  </si>
  <si>
    <t xml:space="preserve">A143850</t>
  </si>
  <si>
    <r>
      <rPr>
        <sz val="11"/>
        <rFont val="Arial"/>
        <family val="0"/>
        <charset val="1"/>
      </rPr>
      <t xml:space="preserve">TIGER </t>
    </r>
    <r>
      <rPr>
        <sz val="11"/>
        <rFont val="Noto Sans CJK SC"/>
        <family val="2"/>
      </rPr>
      <t xml:space="preserve">미국</t>
    </r>
    <r>
      <rPr>
        <sz val="11"/>
        <rFont val="Arial"/>
        <family val="0"/>
        <charset val="1"/>
      </rPr>
      <t xml:space="preserve">S&amp;P500</t>
    </r>
    <r>
      <rPr>
        <sz val="11"/>
        <rFont val="Noto Sans CJK SC"/>
        <family val="2"/>
      </rPr>
      <t xml:space="preserve">선물</t>
    </r>
    <r>
      <rPr>
        <sz val="11"/>
        <rFont val="Arial"/>
        <family val="0"/>
        <charset val="1"/>
      </rPr>
      <t xml:space="preserve">(H)</t>
    </r>
  </si>
  <si>
    <t xml:space="preserve">S&amp;P 500 Futures Index(ER)</t>
  </si>
  <si>
    <t xml:space="preserve">A200030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</si>
  <si>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미국</t>
    </r>
    <r>
      <rPr>
        <sz val="11"/>
        <rFont val="Arial"/>
        <family val="0"/>
        <charset val="1"/>
      </rPr>
      <t xml:space="preserve">S&amp;P500</t>
    </r>
    <r>
      <rPr>
        <sz val="11"/>
        <rFont val="Noto Sans CJK SC"/>
        <family val="2"/>
      </rPr>
      <t xml:space="preserve">산업재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합성</t>
    </r>
    <r>
      <rPr>
        <sz val="11"/>
        <rFont val="Arial"/>
        <family val="0"/>
        <charset val="1"/>
      </rPr>
      <t xml:space="preserve">)</t>
    </r>
  </si>
  <si>
    <t xml:space="preserve">S&amp;P Select Sector Industrial Index</t>
  </si>
  <si>
    <r>
      <rPr>
        <sz val="11"/>
        <rFont val="Noto Sans CJK SC"/>
        <family val="2"/>
      </rPr>
      <t xml:space="preserve">해외주식</t>
    </r>
    <r>
      <rPr>
        <sz val="11"/>
        <rFont val="Arial"/>
        <family val="0"/>
        <charset val="1"/>
      </rPr>
      <t xml:space="preserve">_</t>
    </r>
    <r>
      <rPr>
        <sz val="11"/>
        <rFont val="Noto Sans CJK SC"/>
        <family val="2"/>
      </rPr>
      <t xml:space="preserve">섹터</t>
    </r>
  </si>
  <si>
    <t xml:space="preserve">A453650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</si>
  <si>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미국</t>
    </r>
    <r>
      <rPr>
        <sz val="11"/>
        <rFont val="Arial"/>
        <family val="0"/>
        <charset val="1"/>
      </rPr>
      <t xml:space="preserve">S&amp;P500</t>
    </r>
    <r>
      <rPr>
        <sz val="11"/>
        <rFont val="Noto Sans CJK SC"/>
        <family val="2"/>
      </rPr>
      <t xml:space="preserve">금융</t>
    </r>
  </si>
  <si>
    <t xml:space="preserve">S&amp;P Financial Select Sector Index(Price Return)</t>
  </si>
  <si>
    <t xml:space="preserve">A280930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</si>
  <si>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미국러셀</t>
    </r>
    <r>
      <rPr>
        <sz val="11"/>
        <rFont val="Arial"/>
        <family val="0"/>
        <charset val="1"/>
      </rPr>
      <t xml:space="preserve">2000(H)</t>
    </r>
  </si>
  <si>
    <t xml:space="preserve">FTSE Russell 2000 Index</t>
  </si>
  <si>
    <t xml:space="preserve">A494410</t>
  </si>
  <si>
    <r>
      <rPr>
        <sz val="11"/>
        <rFont val="Arial"/>
        <family val="0"/>
        <charset val="1"/>
      </rPr>
      <t xml:space="preserve">PLUS </t>
    </r>
    <r>
      <rPr>
        <sz val="11"/>
        <rFont val="Noto Sans CJK SC"/>
        <family val="2"/>
      </rPr>
      <t xml:space="preserve">미국</t>
    </r>
    <r>
      <rPr>
        <sz val="11"/>
        <rFont val="Arial"/>
        <family val="0"/>
        <charset val="1"/>
      </rPr>
      <t xml:space="preserve">S&amp;P500</t>
    </r>
    <r>
      <rPr>
        <sz val="11"/>
        <rFont val="Noto Sans CJK SC"/>
        <family val="2"/>
      </rPr>
      <t xml:space="preserve">성장주</t>
    </r>
  </si>
  <si>
    <t xml:space="preserve">S&amp;P 500 Growth Index(PR)</t>
  </si>
  <si>
    <t xml:space="preserve">A453660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</si>
  <si>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미국</t>
    </r>
    <r>
      <rPr>
        <sz val="11"/>
        <rFont val="Arial"/>
        <family val="0"/>
        <charset val="1"/>
      </rPr>
      <t xml:space="preserve">S&amp;P500</t>
    </r>
    <r>
      <rPr>
        <sz val="11"/>
        <rFont val="Noto Sans CJK SC"/>
        <family val="2"/>
      </rPr>
      <t xml:space="preserve">경기소비재</t>
    </r>
  </si>
  <si>
    <t xml:space="preserve">S&amp;P Consumer Discretionary Select Sector Index(Price Return)</t>
  </si>
  <si>
    <t xml:space="preserve">A463690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</si>
  <si>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미국</t>
    </r>
    <r>
      <rPr>
        <sz val="11"/>
        <rFont val="Arial"/>
        <family val="0"/>
        <charset val="1"/>
      </rPr>
      <t xml:space="preserve">S&amp;P500</t>
    </r>
    <r>
      <rPr>
        <sz val="11"/>
        <rFont val="Noto Sans CJK SC"/>
        <family val="2"/>
      </rPr>
      <t xml:space="preserve">커뮤니케이션</t>
    </r>
  </si>
  <si>
    <t xml:space="preserve">S&amp;P Communication Services Select Sector Index(Price Return)</t>
  </si>
  <si>
    <t xml:space="preserve">A499150</t>
  </si>
  <si>
    <r>
      <rPr>
        <sz val="11"/>
        <rFont val="Arial"/>
        <family val="0"/>
        <charset val="1"/>
      </rPr>
      <t xml:space="preserve">SOL </t>
    </r>
    <r>
      <rPr>
        <sz val="11"/>
        <rFont val="Noto Sans CJK SC"/>
        <family val="2"/>
      </rPr>
      <t xml:space="preserve">미국</t>
    </r>
    <r>
      <rPr>
        <sz val="11"/>
        <rFont val="Arial"/>
        <family val="0"/>
        <charset val="1"/>
      </rPr>
      <t xml:space="preserve">S&amp;P500</t>
    </r>
    <r>
      <rPr>
        <sz val="11"/>
        <rFont val="Noto Sans CJK SC"/>
        <family val="2"/>
      </rPr>
      <t xml:space="preserve">엔화노출</t>
    </r>
    <r>
      <rPr>
        <sz val="11"/>
        <rFont val="Arial"/>
        <family val="0"/>
        <charset val="1"/>
      </rPr>
      <t xml:space="preserve">(H)</t>
    </r>
  </si>
  <si>
    <t xml:space="preserve">S&amp;P500 Yen Hedged Index(PR)</t>
  </si>
  <si>
    <t xml:space="preserve">A189400</t>
  </si>
  <si>
    <r>
      <rPr>
        <sz val="11"/>
        <rFont val="Arial"/>
        <family val="0"/>
        <charset val="1"/>
      </rPr>
      <t xml:space="preserve">PLUS </t>
    </r>
    <r>
      <rPr>
        <sz val="11"/>
        <rFont val="Noto Sans CJK SC"/>
        <family val="2"/>
      </rPr>
      <t xml:space="preserve">글로벌</t>
    </r>
    <r>
      <rPr>
        <sz val="11"/>
        <rFont val="Arial"/>
        <family val="0"/>
        <charset val="1"/>
      </rPr>
      <t xml:space="preserve">MSCI(</t>
    </r>
    <r>
      <rPr>
        <sz val="11"/>
        <rFont val="Noto Sans CJK SC"/>
        <family val="2"/>
      </rPr>
      <t xml:space="preserve">합성 </t>
    </r>
    <r>
      <rPr>
        <sz val="11"/>
        <rFont val="Arial"/>
        <family val="0"/>
        <charset val="1"/>
      </rPr>
      <t xml:space="preserve">H)</t>
    </r>
  </si>
  <si>
    <t xml:space="preserve">MSCI ACWI Index</t>
  </si>
  <si>
    <t xml:space="preserve">B3</t>
  </si>
  <si>
    <r>
      <rPr>
        <sz val="11"/>
        <rFont val="Noto Sans CJK SC"/>
        <family val="2"/>
      </rPr>
      <t xml:space="preserve">글로벌 테크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반도체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성장테마</t>
    </r>
  </si>
  <si>
    <t xml:space="preserve">A381170</t>
  </si>
  <si>
    <r>
      <rPr>
        <sz val="11"/>
        <rFont val="Arial"/>
        <family val="0"/>
        <charset val="1"/>
      </rPr>
      <t xml:space="preserve">TIGER </t>
    </r>
    <r>
      <rPr>
        <sz val="11"/>
        <rFont val="Noto Sans CJK SC"/>
        <family val="2"/>
      </rPr>
      <t xml:space="preserve">미국테크</t>
    </r>
    <r>
      <rPr>
        <sz val="11"/>
        <rFont val="Arial"/>
        <family val="0"/>
        <charset val="1"/>
      </rPr>
      <t xml:space="preserve">TOP10 INDXX</t>
    </r>
  </si>
  <si>
    <t xml:space="preserve">Indxx US Tech Top 10 Index</t>
  </si>
  <si>
    <t xml:space="preserve">A091160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</si>
  <si>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반도체</t>
    </r>
  </si>
  <si>
    <r>
      <rPr>
        <sz val="11"/>
        <rFont val="Arial"/>
        <family val="0"/>
        <charset val="1"/>
      </rPr>
      <t xml:space="preserve">KRX </t>
    </r>
    <r>
      <rPr>
        <sz val="11"/>
        <rFont val="Noto Sans CJK SC"/>
        <family val="2"/>
      </rPr>
      <t xml:space="preserve">반도체</t>
    </r>
  </si>
  <si>
    <t xml:space="preserve">A381180</t>
  </si>
  <si>
    <r>
      <rPr>
        <sz val="11"/>
        <rFont val="Arial"/>
        <family val="0"/>
        <charset val="1"/>
      </rPr>
      <t xml:space="preserve">TIGER </t>
    </r>
    <r>
      <rPr>
        <sz val="11"/>
        <rFont val="Noto Sans CJK SC"/>
        <family val="2"/>
      </rPr>
      <t xml:space="preserve">미국필라델피아반도체나스닥</t>
    </r>
  </si>
  <si>
    <t xml:space="preserve">PHLX Semiconductor Sector Index</t>
  </si>
  <si>
    <t xml:space="preserve">A395160</t>
  </si>
  <si>
    <r>
      <rPr>
        <sz val="11"/>
        <rFont val="Arial"/>
        <family val="0"/>
        <charset val="1"/>
      </rPr>
      <t xml:space="preserve">KODEX AI</t>
    </r>
    <r>
      <rPr>
        <sz val="11"/>
        <rFont val="Noto Sans CJK SC"/>
        <family val="2"/>
      </rPr>
      <t xml:space="preserve">반도체</t>
    </r>
  </si>
  <si>
    <r>
      <rPr>
        <sz val="11"/>
        <rFont val="Arial"/>
        <family val="0"/>
        <charset val="1"/>
      </rPr>
      <t xml:space="preserve">FnGuide AI</t>
    </r>
    <r>
      <rPr>
        <sz val="11"/>
        <rFont val="Noto Sans CJK SC"/>
        <family val="2"/>
      </rPr>
      <t xml:space="preserve">반도체지수</t>
    </r>
  </si>
  <si>
    <t xml:space="preserve">A305720</t>
  </si>
  <si>
    <r>
      <rPr>
        <sz val="11"/>
        <rFont val="Arial"/>
        <family val="0"/>
        <charset val="1"/>
      </rPr>
      <t xml:space="preserve">KODEX 2</t>
    </r>
    <r>
      <rPr>
        <sz val="11"/>
        <rFont val="Noto Sans CJK SC"/>
        <family val="2"/>
      </rPr>
      <t xml:space="preserve">차전지산업</t>
    </r>
  </si>
  <si>
    <r>
      <rPr>
        <sz val="11"/>
        <rFont val="Arial"/>
        <family val="0"/>
        <charset val="1"/>
      </rPr>
      <t xml:space="preserve">FnGuide 2</t>
    </r>
    <r>
      <rPr>
        <sz val="11"/>
        <rFont val="Noto Sans CJK SC"/>
        <family val="2"/>
      </rPr>
      <t xml:space="preserve">차전지 산업 지수</t>
    </r>
  </si>
  <si>
    <t xml:space="preserve">A487240</t>
  </si>
  <si>
    <r>
      <rPr>
        <sz val="11"/>
        <rFont val="Arial"/>
        <family val="0"/>
        <charset val="1"/>
      </rPr>
      <t xml:space="preserve">KODEX AI</t>
    </r>
    <r>
      <rPr>
        <sz val="11"/>
        <rFont val="Noto Sans CJK SC"/>
        <family val="2"/>
      </rPr>
      <t xml:space="preserve">전력핵심설비</t>
    </r>
  </si>
  <si>
    <r>
      <rPr>
        <sz val="11"/>
        <rFont val="Arial"/>
        <family val="0"/>
        <charset val="1"/>
      </rPr>
      <t xml:space="preserve">iSelect AI </t>
    </r>
    <r>
      <rPr>
        <sz val="11"/>
        <rFont val="Noto Sans CJK SC"/>
        <family val="2"/>
      </rPr>
      <t xml:space="preserve">전력핵심설비 지수</t>
    </r>
    <r>
      <rPr>
        <sz val="11"/>
        <rFont val="Arial"/>
        <family val="0"/>
        <charset val="1"/>
      </rPr>
      <t xml:space="preserve">(Price Return)</t>
    </r>
  </si>
  <si>
    <t xml:space="preserve">A395270</t>
  </si>
  <si>
    <r>
      <rPr>
        <sz val="11"/>
        <rFont val="Arial"/>
        <family val="0"/>
        <charset val="1"/>
      </rPr>
      <t xml:space="preserve">HANARO Fn K-</t>
    </r>
    <r>
      <rPr>
        <sz val="11"/>
        <rFont val="Noto Sans CJK SC"/>
        <family val="2"/>
      </rPr>
      <t xml:space="preserve">반도체</t>
    </r>
  </si>
  <si>
    <r>
      <rPr>
        <sz val="11"/>
        <rFont val="Arial"/>
        <family val="0"/>
        <charset val="1"/>
      </rPr>
      <t xml:space="preserve">FnGuide K-</t>
    </r>
    <r>
      <rPr>
        <sz val="11"/>
        <rFont val="Noto Sans CJK SC"/>
        <family val="2"/>
      </rPr>
      <t xml:space="preserve">반도체 지수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시장가격</t>
    </r>
    <r>
      <rPr>
        <sz val="11"/>
        <rFont val="Arial"/>
        <family val="0"/>
        <charset val="1"/>
      </rPr>
      <t xml:space="preserve">)</t>
    </r>
  </si>
  <si>
    <t xml:space="preserve">A487230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</si>
  <si>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미국</t>
    </r>
    <r>
      <rPr>
        <sz val="11"/>
        <rFont val="Arial"/>
        <family val="0"/>
        <charset val="1"/>
      </rPr>
      <t xml:space="preserve">AI</t>
    </r>
    <r>
      <rPr>
        <sz val="11"/>
        <rFont val="Noto Sans CJK SC"/>
        <family val="2"/>
      </rPr>
      <t xml:space="preserve">전력핵심인프라</t>
    </r>
  </si>
  <si>
    <r>
      <rPr>
        <sz val="11"/>
        <rFont val="Arial"/>
        <family val="0"/>
        <charset val="1"/>
      </rPr>
      <t xml:space="preserve">iSelect </t>
    </r>
    <r>
      <rPr>
        <sz val="11"/>
        <rFont val="Noto Sans CJK SC"/>
        <family val="2"/>
      </rPr>
      <t xml:space="preserve">미국</t>
    </r>
    <r>
      <rPr>
        <sz val="11"/>
        <rFont val="Arial"/>
        <family val="0"/>
        <charset val="1"/>
      </rPr>
      <t xml:space="preserve">AI</t>
    </r>
    <r>
      <rPr>
        <sz val="11"/>
        <rFont val="Noto Sans CJK SC"/>
        <family val="2"/>
      </rPr>
      <t xml:space="preserve">전력핵심인프라 지수</t>
    </r>
    <r>
      <rPr>
        <sz val="11"/>
        <rFont val="Arial"/>
        <family val="0"/>
        <charset val="1"/>
      </rPr>
      <t xml:space="preserve">(Price Return)</t>
    </r>
  </si>
  <si>
    <t xml:space="preserve">A371460</t>
  </si>
  <si>
    <r>
      <rPr>
        <sz val="11"/>
        <rFont val="Arial"/>
        <family val="0"/>
        <charset val="1"/>
      </rPr>
      <t xml:space="preserve">TIGER </t>
    </r>
    <r>
      <rPr>
        <sz val="11"/>
        <rFont val="Noto Sans CJK SC"/>
        <family val="2"/>
      </rPr>
      <t xml:space="preserve">차이나전기차</t>
    </r>
    <r>
      <rPr>
        <sz val="11"/>
        <rFont val="Arial"/>
        <family val="0"/>
        <charset val="1"/>
      </rPr>
      <t xml:space="preserve">SOLACTIVE</t>
    </r>
  </si>
  <si>
    <t xml:space="preserve">Solactive China Electric Vehicle and Battery Index(PR)</t>
  </si>
  <si>
    <t xml:space="preserve">A457480</t>
  </si>
  <si>
    <r>
      <rPr>
        <sz val="11"/>
        <rFont val="Arial"/>
        <family val="0"/>
        <charset val="1"/>
      </rPr>
      <t xml:space="preserve">ACE </t>
    </r>
    <r>
      <rPr>
        <sz val="11"/>
        <rFont val="Noto Sans CJK SC"/>
        <family val="2"/>
      </rPr>
      <t xml:space="preserve">테슬라밸류체인액티브</t>
    </r>
  </si>
  <si>
    <t xml:space="preserve">Bloomberg EV Supporters Plus Tesla Price Return Index</t>
  </si>
  <si>
    <t xml:space="preserve">A305540</t>
  </si>
  <si>
    <r>
      <rPr>
        <sz val="11"/>
        <rFont val="Arial"/>
        <family val="0"/>
        <charset val="1"/>
      </rPr>
      <t xml:space="preserve">TIGER 2</t>
    </r>
    <r>
      <rPr>
        <sz val="11"/>
        <rFont val="Noto Sans CJK SC"/>
        <family val="2"/>
      </rPr>
      <t xml:space="preserve">차전지테마</t>
    </r>
  </si>
  <si>
    <r>
      <rPr>
        <sz val="11"/>
        <rFont val="Arial"/>
        <family val="0"/>
        <charset val="1"/>
      </rPr>
      <t xml:space="preserve">WISE 2</t>
    </r>
    <r>
      <rPr>
        <sz val="11"/>
        <rFont val="Noto Sans CJK SC"/>
        <family val="2"/>
      </rPr>
      <t xml:space="preserve">차전지 테마 지수</t>
    </r>
  </si>
  <si>
    <t xml:space="preserve">A456600</t>
  </si>
  <si>
    <r>
      <rPr>
        <sz val="11"/>
        <rFont val="Arial"/>
        <family val="0"/>
        <charset val="1"/>
      </rPr>
      <t xml:space="preserve">TIME </t>
    </r>
    <r>
      <rPr>
        <sz val="11"/>
        <rFont val="Noto Sans CJK SC"/>
        <family val="2"/>
      </rPr>
      <t xml:space="preserve">글로벌</t>
    </r>
    <r>
      <rPr>
        <sz val="11"/>
        <rFont val="Arial"/>
        <family val="0"/>
        <charset val="1"/>
      </rPr>
      <t xml:space="preserve">AI</t>
    </r>
    <r>
      <rPr>
        <sz val="11"/>
        <rFont val="Noto Sans CJK SC"/>
        <family val="2"/>
      </rPr>
      <t xml:space="preserve">인공지능액티브</t>
    </r>
  </si>
  <si>
    <r>
      <rPr>
        <sz val="11"/>
        <rFont val="Arial"/>
        <family val="0"/>
        <charset val="1"/>
      </rPr>
      <t xml:space="preserve">Solactive Global Artificial Intelligence </t>
    </r>
    <r>
      <rPr>
        <sz val="11"/>
        <rFont val="Noto Sans CJK SC"/>
        <family val="2"/>
      </rPr>
      <t xml:space="preserve">지수</t>
    </r>
  </si>
  <si>
    <t xml:space="preserve">A445290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</si>
  <si>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로봇액티브</t>
    </r>
  </si>
  <si>
    <r>
      <rPr>
        <sz val="11"/>
        <rFont val="Arial"/>
        <family val="0"/>
        <charset val="1"/>
      </rPr>
      <t xml:space="preserve">iSelect K-</t>
    </r>
    <r>
      <rPr>
        <sz val="11"/>
        <rFont val="Noto Sans CJK SC"/>
        <family val="2"/>
      </rPr>
      <t xml:space="preserve">로봇테마 지수</t>
    </r>
  </si>
  <si>
    <t xml:space="preserve">A465580</t>
  </si>
  <si>
    <r>
      <rPr>
        <sz val="11"/>
        <rFont val="Arial"/>
        <family val="0"/>
        <charset val="1"/>
      </rPr>
      <t xml:space="preserve">ACE </t>
    </r>
    <r>
      <rPr>
        <sz val="11"/>
        <rFont val="Noto Sans CJK SC"/>
        <family val="2"/>
      </rPr>
      <t xml:space="preserve">미국빅테크</t>
    </r>
    <r>
      <rPr>
        <sz val="11"/>
        <rFont val="Arial"/>
        <family val="0"/>
        <charset val="1"/>
      </rPr>
      <t xml:space="preserve">TOP7 Plus</t>
    </r>
  </si>
  <si>
    <t xml:space="preserve">Solactive US Big Tech Top 7 Plus Price Return Index</t>
  </si>
  <si>
    <t xml:space="preserve">A455850</t>
  </si>
  <si>
    <r>
      <rPr>
        <sz val="11"/>
        <rFont val="Arial"/>
        <family val="0"/>
        <charset val="1"/>
      </rPr>
      <t xml:space="preserve">SOL AI</t>
    </r>
    <r>
      <rPr>
        <sz val="11"/>
        <rFont val="Noto Sans CJK SC"/>
        <family val="2"/>
      </rPr>
      <t xml:space="preserve">반도체소부장</t>
    </r>
  </si>
  <si>
    <r>
      <rPr>
        <sz val="11"/>
        <rFont val="Arial"/>
        <family val="0"/>
        <charset val="1"/>
      </rPr>
      <t xml:space="preserve">FnGuide AI </t>
    </r>
    <r>
      <rPr>
        <sz val="11"/>
        <rFont val="Noto Sans CJK SC"/>
        <family val="2"/>
      </rPr>
      <t xml:space="preserve">반도체 소부장 지수</t>
    </r>
  </si>
  <si>
    <t xml:space="preserve">A446770</t>
  </si>
  <si>
    <r>
      <rPr>
        <sz val="11"/>
        <rFont val="Arial"/>
        <family val="0"/>
        <charset val="1"/>
      </rPr>
      <t xml:space="preserve">ACE </t>
    </r>
    <r>
      <rPr>
        <sz val="11"/>
        <rFont val="Noto Sans CJK SC"/>
        <family val="2"/>
      </rPr>
      <t xml:space="preserve">글로벌반도체</t>
    </r>
    <r>
      <rPr>
        <sz val="11"/>
        <rFont val="Arial"/>
        <family val="0"/>
        <charset val="1"/>
      </rPr>
      <t xml:space="preserve">TOP4 Plus</t>
    </r>
  </si>
  <si>
    <t xml:space="preserve">Solactive Global Semiconductor TOP4 Plus Price Return Index</t>
  </si>
  <si>
    <t xml:space="preserve">A139260</t>
  </si>
  <si>
    <t xml:space="preserve">TIGER 200 IT</t>
  </si>
  <si>
    <r>
      <rPr>
        <sz val="11"/>
        <rFont val="Noto Sans CJK SC"/>
        <family val="2"/>
      </rPr>
      <t xml:space="preserve">코스피 </t>
    </r>
    <r>
      <rPr>
        <sz val="11"/>
        <rFont val="Arial"/>
        <family val="0"/>
        <charset val="1"/>
      </rPr>
      <t xml:space="preserve">200 </t>
    </r>
    <r>
      <rPr>
        <sz val="11"/>
        <rFont val="Noto Sans CJK SC"/>
        <family val="2"/>
      </rPr>
      <t xml:space="preserve">정보기술</t>
    </r>
  </si>
  <si>
    <t xml:space="preserve">A497570</t>
  </si>
  <si>
    <r>
      <rPr>
        <sz val="11"/>
        <rFont val="Arial"/>
        <family val="0"/>
        <charset val="1"/>
      </rPr>
      <t xml:space="preserve">TIGER </t>
    </r>
    <r>
      <rPr>
        <sz val="11"/>
        <rFont val="Noto Sans CJK SC"/>
        <family val="2"/>
      </rPr>
      <t xml:space="preserve">미국필라델피아</t>
    </r>
    <r>
      <rPr>
        <sz val="11"/>
        <rFont val="Arial"/>
        <family val="0"/>
        <charset val="1"/>
      </rPr>
      <t xml:space="preserve">AI</t>
    </r>
    <r>
      <rPr>
        <sz val="11"/>
        <rFont val="Noto Sans CJK SC"/>
        <family val="2"/>
      </rPr>
      <t xml:space="preserve">반도체나스닥</t>
    </r>
  </si>
  <si>
    <r>
      <rPr>
        <sz val="11"/>
        <rFont val="Arial"/>
        <family val="0"/>
        <charset val="1"/>
      </rPr>
      <t xml:space="preserve">PHLX US AI Semiconductor </t>
    </r>
    <r>
      <rPr>
        <sz val="11"/>
        <rFont val="Noto Sans CJK SC"/>
        <family val="2"/>
      </rPr>
      <t xml:space="preserve">지수 </t>
    </r>
    <r>
      <rPr>
        <sz val="11"/>
        <rFont val="Arial"/>
        <family val="0"/>
        <charset val="1"/>
      </rPr>
      <t xml:space="preserve">(PR)</t>
    </r>
  </si>
  <si>
    <t xml:space="preserve">A462010</t>
  </si>
  <si>
    <r>
      <rPr>
        <sz val="11"/>
        <rFont val="Arial"/>
        <family val="0"/>
        <charset val="1"/>
      </rPr>
      <t xml:space="preserve">TIGER 2</t>
    </r>
    <r>
      <rPr>
        <sz val="11"/>
        <rFont val="Noto Sans CJK SC"/>
        <family val="2"/>
      </rPr>
      <t xml:space="preserve">차전지소재</t>
    </r>
    <r>
      <rPr>
        <sz val="11"/>
        <rFont val="Arial"/>
        <family val="0"/>
        <charset val="1"/>
      </rPr>
      <t xml:space="preserve">Fn</t>
    </r>
  </si>
  <si>
    <r>
      <rPr>
        <sz val="11"/>
        <rFont val="Arial"/>
        <family val="0"/>
        <charset val="1"/>
      </rPr>
      <t xml:space="preserve">FnGuide 2</t>
    </r>
    <r>
      <rPr>
        <sz val="11"/>
        <rFont val="Noto Sans CJK SC"/>
        <family val="2"/>
      </rPr>
      <t xml:space="preserve">차전지소재 </t>
    </r>
    <r>
      <rPr>
        <sz val="11"/>
        <rFont val="Arial"/>
        <family val="0"/>
        <charset val="1"/>
      </rPr>
      <t xml:space="preserve">(Price Return) </t>
    </r>
    <r>
      <rPr>
        <sz val="11"/>
        <rFont val="Noto Sans CJK SC"/>
        <family val="2"/>
      </rPr>
      <t xml:space="preserve">지수</t>
    </r>
  </si>
  <si>
    <t xml:space="preserve">A390390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</si>
  <si>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미국반도체</t>
    </r>
  </si>
  <si>
    <t xml:space="preserve">MVIS US Listed Semiconductor 25 Index</t>
  </si>
  <si>
    <t xml:space="preserve">A363580</t>
  </si>
  <si>
    <t xml:space="preserve">KODEX 200IT TR</t>
  </si>
  <si>
    <r>
      <rPr>
        <sz val="11"/>
        <rFont val="Noto Sans CJK SC"/>
        <family val="2"/>
      </rPr>
      <t xml:space="preserve">코스피 </t>
    </r>
    <r>
      <rPr>
        <sz val="11"/>
        <rFont val="Arial"/>
        <family val="0"/>
        <charset val="1"/>
      </rPr>
      <t xml:space="preserve">200 </t>
    </r>
    <r>
      <rPr>
        <sz val="11"/>
        <rFont val="Noto Sans CJK SC"/>
        <family val="2"/>
      </rPr>
      <t xml:space="preserve">정보기술 </t>
    </r>
    <r>
      <rPr>
        <sz val="11"/>
        <rFont val="Arial"/>
        <family val="0"/>
        <charset val="1"/>
      </rPr>
      <t xml:space="preserve">TR</t>
    </r>
  </si>
  <si>
    <t xml:space="preserve">A463680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</si>
  <si>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미국</t>
    </r>
    <r>
      <rPr>
        <sz val="11"/>
        <rFont val="Arial"/>
        <family val="0"/>
        <charset val="1"/>
      </rPr>
      <t xml:space="preserve">S&amp;P500</t>
    </r>
    <r>
      <rPr>
        <sz val="11"/>
        <rFont val="Noto Sans CJK SC"/>
        <family val="2"/>
      </rPr>
      <t xml:space="preserve">테크놀로지</t>
    </r>
  </si>
  <si>
    <t xml:space="preserve">S&amp;P Technology Select Sector Index(Price Return)</t>
  </si>
  <si>
    <t xml:space="preserve">A287180</t>
  </si>
  <si>
    <r>
      <rPr>
        <sz val="11"/>
        <rFont val="Arial"/>
        <family val="0"/>
        <charset val="1"/>
      </rPr>
      <t xml:space="preserve">PLUS </t>
    </r>
    <r>
      <rPr>
        <sz val="11"/>
        <rFont val="Noto Sans CJK SC"/>
        <family val="2"/>
      </rPr>
      <t xml:space="preserve">미국나스닥테크</t>
    </r>
  </si>
  <si>
    <t xml:space="preserve">NASDAQ 100 Technology Sector Index</t>
  </si>
  <si>
    <t xml:space="preserve">A185680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</si>
  <si>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미국</t>
    </r>
    <r>
      <rPr>
        <sz val="11"/>
        <rFont val="Arial"/>
        <family val="0"/>
        <charset val="1"/>
      </rPr>
      <t xml:space="preserve">S&amp;P</t>
    </r>
    <r>
      <rPr>
        <sz val="11"/>
        <rFont val="Noto Sans CJK SC"/>
        <family val="2"/>
      </rPr>
      <t xml:space="preserve">바이오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합성</t>
    </r>
    <r>
      <rPr>
        <sz val="11"/>
        <rFont val="Arial"/>
        <family val="0"/>
        <charset val="1"/>
      </rPr>
      <t xml:space="preserve">)</t>
    </r>
  </si>
  <si>
    <t xml:space="preserve">S&amp;P Biotechnology Select Industry Index</t>
  </si>
  <si>
    <t xml:space="preserve">B4</t>
  </si>
  <si>
    <t xml:space="preserve">중국주식</t>
  </si>
  <si>
    <t xml:space="preserve">A371160</t>
  </si>
  <si>
    <r>
      <rPr>
        <sz val="11"/>
        <rFont val="Arial"/>
        <family val="0"/>
        <charset val="1"/>
      </rPr>
      <t xml:space="preserve">TIGER </t>
    </r>
    <r>
      <rPr>
        <sz val="11"/>
        <rFont val="Noto Sans CJK SC"/>
        <family val="2"/>
      </rPr>
      <t xml:space="preserve">차이나항셍테크</t>
    </r>
  </si>
  <si>
    <t xml:space="preserve">Hang Seng TECH Index</t>
  </si>
  <si>
    <t xml:space="preserve">A283580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</si>
  <si>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차이나</t>
    </r>
    <r>
      <rPr>
        <sz val="11"/>
        <rFont val="Arial"/>
        <family val="0"/>
        <charset val="1"/>
      </rPr>
      <t xml:space="preserve">CSI300</t>
    </r>
  </si>
  <si>
    <t xml:space="preserve">CSI 300</t>
  </si>
  <si>
    <t xml:space="preserve">A414780</t>
  </si>
  <si>
    <r>
      <rPr>
        <sz val="11"/>
        <rFont val="Arial"/>
        <family val="0"/>
        <charset val="1"/>
      </rPr>
      <t xml:space="preserve">TIGER </t>
    </r>
    <r>
      <rPr>
        <sz val="11"/>
        <rFont val="Noto Sans CJK SC"/>
        <family val="2"/>
      </rPr>
      <t xml:space="preserve">차이나과창판</t>
    </r>
    <r>
      <rPr>
        <sz val="11"/>
        <rFont val="Arial"/>
        <family val="0"/>
        <charset val="1"/>
      </rPr>
      <t xml:space="preserve">STAR50(</t>
    </r>
    <r>
      <rPr>
        <sz val="11"/>
        <rFont val="Noto Sans CJK SC"/>
        <family val="2"/>
      </rPr>
      <t xml:space="preserve">합성</t>
    </r>
    <r>
      <rPr>
        <sz val="11"/>
        <rFont val="Arial"/>
        <family val="0"/>
        <charset val="1"/>
      </rPr>
      <t xml:space="preserve">)</t>
    </r>
  </si>
  <si>
    <t xml:space="preserve">STAR 50 Index(Price Return)</t>
  </si>
  <si>
    <t xml:space="preserve">A372330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</si>
  <si>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차이나항셍테크</t>
    </r>
  </si>
  <si>
    <t xml:space="preserve">A192090</t>
  </si>
  <si>
    <r>
      <rPr>
        <sz val="11"/>
        <rFont val="Arial"/>
        <family val="0"/>
        <charset val="1"/>
      </rPr>
      <t xml:space="preserve">TIGER </t>
    </r>
    <r>
      <rPr>
        <sz val="11"/>
        <rFont val="Noto Sans CJK SC"/>
        <family val="2"/>
      </rPr>
      <t xml:space="preserve">차이나</t>
    </r>
    <r>
      <rPr>
        <sz val="11"/>
        <rFont val="Arial"/>
        <family val="0"/>
        <charset val="1"/>
      </rPr>
      <t xml:space="preserve">CSI300</t>
    </r>
  </si>
  <si>
    <t xml:space="preserve">A168580</t>
  </si>
  <si>
    <r>
      <rPr>
        <sz val="11"/>
        <rFont val="Arial"/>
        <family val="0"/>
        <charset val="1"/>
      </rPr>
      <t xml:space="preserve">ACE </t>
    </r>
    <r>
      <rPr>
        <sz val="11"/>
        <rFont val="Noto Sans CJK SC"/>
        <family val="2"/>
      </rPr>
      <t xml:space="preserve">중국본토</t>
    </r>
    <r>
      <rPr>
        <sz val="11"/>
        <rFont val="Arial"/>
        <family val="0"/>
        <charset val="1"/>
      </rPr>
      <t xml:space="preserve">CSI300</t>
    </r>
  </si>
  <si>
    <t xml:space="preserve">A099140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</si>
  <si>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차이나</t>
    </r>
    <r>
      <rPr>
        <sz val="11"/>
        <rFont val="Arial"/>
        <family val="0"/>
        <charset val="1"/>
      </rPr>
      <t xml:space="preserve">H</t>
    </r>
  </si>
  <si>
    <t xml:space="preserve">HSCEI (Hang Seng China Enterprise Index)</t>
  </si>
  <si>
    <t xml:space="preserve">A245360</t>
  </si>
  <si>
    <r>
      <rPr>
        <sz val="11"/>
        <rFont val="Arial"/>
        <family val="0"/>
        <charset val="1"/>
      </rPr>
      <t xml:space="preserve">TIGER </t>
    </r>
    <r>
      <rPr>
        <sz val="11"/>
        <rFont val="Noto Sans CJK SC"/>
        <family val="2"/>
      </rPr>
      <t xml:space="preserve">차이나</t>
    </r>
    <r>
      <rPr>
        <sz val="11"/>
        <rFont val="Arial"/>
        <family val="0"/>
        <charset val="1"/>
      </rPr>
      <t xml:space="preserve">HSCEI</t>
    </r>
  </si>
  <si>
    <t xml:space="preserve">A250730</t>
  </si>
  <si>
    <r>
      <rPr>
        <sz val="11"/>
        <rFont val="Arial"/>
        <family val="0"/>
        <charset val="1"/>
      </rPr>
      <t xml:space="preserve">RISE </t>
    </r>
    <r>
      <rPr>
        <sz val="11"/>
        <rFont val="Noto Sans CJK SC"/>
        <family val="2"/>
      </rPr>
      <t xml:space="preserve">차이나</t>
    </r>
    <r>
      <rPr>
        <sz val="11"/>
        <rFont val="Arial"/>
        <family val="0"/>
        <charset val="1"/>
      </rPr>
      <t xml:space="preserve">HSCEI(H)</t>
    </r>
  </si>
  <si>
    <t xml:space="preserve">A310080</t>
  </si>
  <si>
    <r>
      <rPr>
        <sz val="11"/>
        <rFont val="Arial"/>
        <family val="0"/>
        <charset val="1"/>
      </rPr>
      <t xml:space="preserve">RISE </t>
    </r>
    <r>
      <rPr>
        <sz val="11"/>
        <rFont val="Noto Sans CJK SC"/>
        <family val="2"/>
      </rPr>
      <t xml:space="preserve">중국</t>
    </r>
    <r>
      <rPr>
        <sz val="11"/>
        <rFont val="Arial"/>
        <family val="0"/>
        <charset val="1"/>
      </rPr>
      <t xml:space="preserve">MSCI China(H)</t>
    </r>
  </si>
  <si>
    <t xml:space="preserve">MSCI China NTR Index(USD) (Net Total Return)</t>
  </si>
  <si>
    <t xml:space="preserve">B5</t>
  </si>
  <si>
    <t xml:space="preserve">기타 해외주식</t>
  </si>
  <si>
    <t xml:space="preserve">A241180</t>
  </si>
  <si>
    <r>
      <rPr>
        <sz val="11"/>
        <rFont val="Arial"/>
        <family val="0"/>
        <charset val="1"/>
      </rPr>
      <t xml:space="preserve">TIGER </t>
    </r>
    <r>
      <rPr>
        <sz val="11"/>
        <rFont val="Noto Sans CJK SC"/>
        <family val="2"/>
      </rPr>
      <t xml:space="preserve">일본니케이</t>
    </r>
    <r>
      <rPr>
        <sz val="11"/>
        <rFont val="Arial"/>
        <family val="0"/>
        <charset val="1"/>
      </rPr>
      <t xml:space="preserve">225</t>
    </r>
  </si>
  <si>
    <t xml:space="preserve">Nikkei 225</t>
  </si>
  <si>
    <t xml:space="preserve">A453810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</si>
  <si>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인도</t>
    </r>
    <r>
      <rPr>
        <sz val="11"/>
        <rFont val="Arial"/>
        <family val="0"/>
        <charset val="1"/>
      </rPr>
      <t xml:space="preserve">Nifty50</t>
    </r>
  </si>
  <si>
    <t xml:space="preserve">Nifty 50 Index</t>
  </si>
  <si>
    <t xml:space="preserve">A453870</t>
  </si>
  <si>
    <r>
      <rPr>
        <sz val="11"/>
        <rFont val="Arial"/>
        <family val="0"/>
        <charset val="1"/>
      </rPr>
      <t xml:space="preserve">TIGER </t>
    </r>
    <r>
      <rPr>
        <sz val="11"/>
        <rFont val="Noto Sans CJK SC"/>
        <family val="2"/>
      </rPr>
      <t xml:space="preserve">인도니프티</t>
    </r>
    <r>
      <rPr>
        <sz val="11"/>
        <rFont val="Arial"/>
        <family val="0"/>
        <charset val="1"/>
      </rPr>
      <t xml:space="preserve">50</t>
    </r>
  </si>
  <si>
    <t xml:space="preserve">A245710</t>
  </si>
  <si>
    <r>
      <rPr>
        <sz val="11"/>
        <rFont val="Arial"/>
        <family val="0"/>
        <charset val="1"/>
      </rPr>
      <t xml:space="preserve">ACE </t>
    </r>
    <r>
      <rPr>
        <sz val="11"/>
        <rFont val="Noto Sans CJK SC"/>
        <family val="2"/>
      </rPr>
      <t xml:space="preserve">베트남</t>
    </r>
    <r>
      <rPr>
        <sz val="11"/>
        <rFont val="Arial"/>
        <family val="0"/>
        <charset val="1"/>
      </rPr>
      <t xml:space="preserve">VN30(</t>
    </r>
    <r>
      <rPr>
        <sz val="11"/>
        <rFont val="Noto Sans CJK SC"/>
        <family val="2"/>
      </rPr>
      <t xml:space="preserve">합성</t>
    </r>
    <r>
      <rPr>
        <sz val="11"/>
        <rFont val="Arial"/>
        <family val="0"/>
        <charset val="1"/>
      </rPr>
      <t xml:space="preserve">)</t>
    </r>
  </si>
  <si>
    <t xml:space="preserve">VN30 Index(PR)</t>
  </si>
  <si>
    <t xml:space="preserve">A200250</t>
  </si>
  <si>
    <r>
      <rPr>
        <sz val="11"/>
        <rFont val="Arial"/>
        <family val="0"/>
        <charset val="1"/>
      </rPr>
      <t xml:space="preserve">KIWOOM </t>
    </r>
    <r>
      <rPr>
        <sz val="11"/>
        <rFont val="Noto Sans CJK SC"/>
        <family val="2"/>
      </rPr>
      <t xml:space="preserve">인도</t>
    </r>
    <r>
      <rPr>
        <sz val="11"/>
        <rFont val="Arial"/>
        <family val="0"/>
        <charset val="1"/>
      </rPr>
      <t xml:space="preserve">Nifty50(</t>
    </r>
    <r>
      <rPr>
        <sz val="11"/>
        <rFont val="Noto Sans CJK SC"/>
        <family val="2"/>
      </rPr>
      <t xml:space="preserve">합성</t>
    </r>
    <r>
      <rPr>
        <sz val="11"/>
        <rFont val="Arial"/>
        <family val="0"/>
        <charset val="1"/>
      </rPr>
      <t xml:space="preserve">)</t>
    </r>
  </si>
  <si>
    <t xml:space="preserve">A195980</t>
  </si>
  <si>
    <r>
      <rPr>
        <sz val="11"/>
        <rFont val="Arial"/>
        <family val="0"/>
        <charset val="1"/>
      </rPr>
      <t xml:space="preserve">PLUS </t>
    </r>
    <r>
      <rPr>
        <sz val="11"/>
        <rFont val="Noto Sans CJK SC"/>
        <family val="2"/>
      </rPr>
      <t xml:space="preserve">신흥국</t>
    </r>
    <r>
      <rPr>
        <sz val="11"/>
        <rFont val="Arial"/>
        <family val="0"/>
        <charset val="1"/>
      </rPr>
      <t xml:space="preserve">MSCI(</t>
    </r>
    <r>
      <rPr>
        <sz val="11"/>
        <rFont val="Noto Sans CJK SC"/>
        <family val="2"/>
      </rPr>
      <t xml:space="preserve">합성 </t>
    </r>
    <r>
      <rPr>
        <sz val="11"/>
        <rFont val="Arial"/>
        <family val="0"/>
        <charset val="1"/>
      </rPr>
      <t xml:space="preserve">H)</t>
    </r>
  </si>
  <si>
    <t xml:space="preserve">MSCI EM Index</t>
  </si>
  <si>
    <t xml:space="preserve">A101280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</si>
  <si>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일본</t>
    </r>
    <r>
      <rPr>
        <sz val="11"/>
        <rFont val="Arial"/>
        <family val="0"/>
        <charset val="1"/>
      </rPr>
      <t xml:space="preserve">TOPIX100</t>
    </r>
  </si>
  <si>
    <t xml:space="preserve">TOPIX100</t>
  </si>
  <si>
    <t xml:space="preserve">A238720</t>
  </si>
  <si>
    <r>
      <rPr>
        <sz val="11"/>
        <rFont val="Arial"/>
        <family val="0"/>
        <charset val="1"/>
      </rPr>
      <t xml:space="preserve">ACE </t>
    </r>
    <r>
      <rPr>
        <sz val="11"/>
        <rFont val="Noto Sans CJK SC"/>
        <family val="2"/>
      </rPr>
      <t xml:space="preserve">일본</t>
    </r>
    <r>
      <rPr>
        <sz val="11"/>
        <rFont val="Arial"/>
        <family val="0"/>
        <charset val="1"/>
      </rPr>
      <t xml:space="preserve">Nikkei225(H)</t>
    </r>
  </si>
  <si>
    <t xml:space="preserve">A195930</t>
  </si>
  <si>
    <r>
      <rPr>
        <sz val="11"/>
        <rFont val="Arial"/>
        <family val="0"/>
        <charset val="1"/>
      </rPr>
      <t xml:space="preserve">TIGER </t>
    </r>
    <r>
      <rPr>
        <sz val="11"/>
        <rFont val="Noto Sans CJK SC"/>
        <family val="2"/>
      </rPr>
      <t xml:space="preserve">유로스탁스</t>
    </r>
    <r>
      <rPr>
        <sz val="11"/>
        <rFont val="Arial"/>
        <family val="0"/>
        <charset val="1"/>
      </rPr>
      <t xml:space="preserve">50(</t>
    </r>
    <r>
      <rPr>
        <sz val="11"/>
        <rFont val="Noto Sans CJK SC"/>
        <family val="2"/>
      </rPr>
      <t xml:space="preserve">합성 </t>
    </r>
    <r>
      <rPr>
        <sz val="11"/>
        <rFont val="Arial"/>
        <family val="0"/>
        <charset val="1"/>
      </rPr>
      <t xml:space="preserve">H)</t>
    </r>
  </si>
  <si>
    <t xml:space="preserve">EURO STOXX50</t>
  </si>
  <si>
    <t xml:space="preserve">A256440</t>
  </si>
  <si>
    <r>
      <rPr>
        <sz val="11"/>
        <rFont val="Arial"/>
        <family val="0"/>
        <charset val="1"/>
      </rPr>
      <t xml:space="preserve">ACE </t>
    </r>
    <r>
      <rPr>
        <sz val="11"/>
        <rFont val="Noto Sans CJK SC"/>
        <family val="2"/>
      </rPr>
      <t xml:space="preserve">인도네시아</t>
    </r>
    <r>
      <rPr>
        <sz val="11"/>
        <rFont val="Arial"/>
        <family val="0"/>
        <charset val="1"/>
      </rPr>
      <t xml:space="preserve">MSCI(</t>
    </r>
    <r>
      <rPr>
        <sz val="11"/>
        <rFont val="Noto Sans CJK SC"/>
        <family val="2"/>
      </rPr>
      <t xml:space="preserve">합성</t>
    </r>
    <r>
      <rPr>
        <sz val="11"/>
        <rFont val="Arial"/>
        <family val="0"/>
        <charset val="1"/>
      </rPr>
      <t xml:space="preserve">)</t>
    </r>
  </si>
  <si>
    <t xml:space="preserve">MSCI Indonesia Index</t>
  </si>
  <si>
    <t xml:space="preserve">A195970</t>
  </si>
  <si>
    <r>
      <rPr>
        <sz val="11"/>
        <rFont val="Arial"/>
        <family val="0"/>
        <charset val="1"/>
      </rPr>
      <t xml:space="preserve">PLUS </t>
    </r>
    <r>
      <rPr>
        <sz val="11"/>
        <rFont val="Noto Sans CJK SC"/>
        <family val="2"/>
      </rPr>
      <t xml:space="preserve">선진국</t>
    </r>
    <r>
      <rPr>
        <sz val="11"/>
        <rFont val="Arial"/>
        <family val="0"/>
        <charset val="1"/>
      </rPr>
      <t xml:space="preserve">MSCI(</t>
    </r>
    <r>
      <rPr>
        <sz val="11"/>
        <rFont val="Noto Sans CJK SC"/>
        <family val="2"/>
      </rPr>
      <t xml:space="preserve">합성 </t>
    </r>
    <r>
      <rPr>
        <sz val="11"/>
        <rFont val="Arial"/>
        <family val="0"/>
        <charset val="1"/>
      </rPr>
      <t xml:space="preserve">H)</t>
    </r>
  </si>
  <si>
    <t xml:space="preserve">MSCI EAFE Index</t>
  </si>
  <si>
    <t xml:space="preserve">A291130</t>
  </si>
  <si>
    <r>
      <rPr>
        <sz val="11"/>
        <rFont val="Arial"/>
        <family val="0"/>
        <charset val="1"/>
      </rPr>
      <t xml:space="preserve">ACE </t>
    </r>
    <r>
      <rPr>
        <sz val="11"/>
        <rFont val="Noto Sans CJK SC"/>
        <family val="2"/>
      </rPr>
      <t xml:space="preserve">멕시코</t>
    </r>
    <r>
      <rPr>
        <sz val="11"/>
        <rFont val="Arial"/>
        <family val="0"/>
        <charset val="1"/>
      </rPr>
      <t xml:space="preserve">MSCI(</t>
    </r>
    <r>
      <rPr>
        <sz val="11"/>
        <rFont val="Noto Sans CJK SC"/>
        <family val="2"/>
      </rPr>
      <t xml:space="preserve">합성</t>
    </r>
    <r>
      <rPr>
        <sz val="11"/>
        <rFont val="Arial"/>
        <family val="0"/>
        <charset val="1"/>
      </rPr>
      <t xml:space="preserve">)</t>
    </r>
  </si>
  <si>
    <t xml:space="preserve">MSCI MEXICO IMI 25/50 Price return Index</t>
  </si>
  <si>
    <t xml:space="preserve">A195920</t>
  </si>
  <si>
    <r>
      <rPr>
        <sz val="11"/>
        <rFont val="Arial"/>
        <family val="0"/>
        <charset val="1"/>
      </rPr>
      <t xml:space="preserve">TIGER </t>
    </r>
    <r>
      <rPr>
        <sz val="11"/>
        <rFont val="Noto Sans CJK SC"/>
        <family val="2"/>
      </rPr>
      <t xml:space="preserve">일본</t>
    </r>
    <r>
      <rPr>
        <sz val="11"/>
        <rFont val="Arial"/>
        <family val="0"/>
        <charset val="1"/>
      </rPr>
      <t xml:space="preserve">TOPIX(</t>
    </r>
    <r>
      <rPr>
        <sz val="11"/>
        <rFont val="Noto Sans CJK SC"/>
        <family val="2"/>
      </rPr>
      <t xml:space="preserve">합성 </t>
    </r>
    <r>
      <rPr>
        <sz val="11"/>
        <rFont val="Arial"/>
        <family val="0"/>
        <charset val="1"/>
      </rPr>
      <t xml:space="preserve">H)</t>
    </r>
  </si>
  <si>
    <t xml:space="preserve">TOPIX</t>
  </si>
  <si>
    <t xml:space="preserve">A105010</t>
  </si>
  <si>
    <r>
      <rPr>
        <sz val="11"/>
        <rFont val="Arial"/>
        <family val="0"/>
        <charset val="1"/>
      </rPr>
      <t xml:space="preserve">TIGER </t>
    </r>
    <r>
      <rPr>
        <sz val="11"/>
        <rFont val="Noto Sans CJK SC"/>
        <family val="2"/>
      </rPr>
      <t xml:space="preserve">라틴</t>
    </r>
    <r>
      <rPr>
        <sz val="11"/>
        <rFont val="Arial"/>
        <family val="0"/>
        <charset val="1"/>
      </rPr>
      <t xml:space="preserve">35</t>
    </r>
  </si>
  <si>
    <t xml:space="preserve">BNY Latin America 35 ADR Index</t>
  </si>
  <si>
    <t xml:space="preserve">A379790</t>
  </si>
  <si>
    <r>
      <rPr>
        <sz val="11"/>
        <rFont val="Arial"/>
        <family val="0"/>
        <charset val="1"/>
      </rPr>
      <t xml:space="preserve">RISE </t>
    </r>
    <r>
      <rPr>
        <sz val="11"/>
        <rFont val="Noto Sans CJK SC"/>
        <family val="2"/>
      </rPr>
      <t xml:space="preserve">유로스탁스</t>
    </r>
    <r>
      <rPr>
        <sz val="11"/>
        <rFont val="Arial"/>
        <family val="0"/>
        <charset val="1"/>
      </rPr>
      <t xml:space="preserve">50(H)</t>
    </r>
  </si>
  <si>
    <t xml:space="preserve">A411860</t>
  </si>
  <si>
    <r>
      <rPr>
        <sz val="11"/>
        <rFont val="Arial"/>
        <family val="0"/>
        <charset val="1"/>
      </rPr>
      <t xml:space="preserve">KIWOOM </t>
    </r>
    <r>
      <rPr>
        <sz val="11"/>
        <rFont val="Noto Sans CJK SC"/>
        <family val="2"/>
      </rPr>
      <t xml:space="preserve">독일</t>
    </r>
    <r>
      <rPr>
        <sz val="11"/>
        <rFont val="Arial"/>
        <family val="0"/>
        <charset val="1"/>
      </rPr>
      <t xml:space="preserve">DAX</t>
    </r>
  </si>
  <si>
    <t xml:space="preserve">DAX Index(PR)</t>
  </si>
  <si>
    <t xml:space="preserve">A315270</t>
  </si>
  <si>
    <r>
      <rPr>
        <sz val="11"/>
        <rFont val="Arial"/>
        <family val="0"/>
        <charset val="1"/>
      </rPr>
      <t xml:space="preserve">TIGER 200</t>
    </r>
    <r>
      <rPr>
        <sz val="11"/>
        <rFont val="Noto Sans CJK SC"/>
        <family val="2"/>
      </rPr>
      <t xml:space="preserve">커뮤니케이션서비스</t>
    </r>
  </si>
  <si>
    <r>
      <rPr>
        <sz val="11"/>
        <rFont val="Noto Sans CJK SC"/>
        <family val="2"/>
      </rPr>
      <t xml:space="preserve">코스피 </t>
    </r>
    <r>
      <rPr>
        <sz val="11"/>
        <rFont val="Arial"/>
        <family val="0"/>
        <charset val="1"/>
      </rPr>
      <t xml:space="preserve">200 </t>
    </r>
    <r>
      <rPr>
        <sz val="11"/>
        <rFont val="Noto Sans CJK SC"/>
        <family val="2"/>
      </rPr>
      <t xml:space="preserve">커뮤니케이션서비스</t>
    </r>
  </si>
  <si>
    <t xml:space="preserve">A261920</t>
  </si>
  <si>
    <r>
      <rPr>
        <sz val="11"/>
        <rFont val="Arial"/>
        <family val="0"/>
        <charset val="1"/>
      </rPr>
      <t xml:space="preserve">ACE </t>
    </r>
    <r>
      <rPr>
        <sz val="11"/>
        <rFont val="Noto Sans CJK SC"/>
        <family val="2"/>
      </rPr>
      <t xml:space="preserve">필리핀</t>
    </r>
    <r>
      <rPr>
        <sz val="11"/>
        <rFont val="Arial"/>
        <family val="0"/>
        <charset val="1"/>
      </rPr>
      <t xml:space="preserve">MSCI(</t>
    </r>
    <r>
      <rPr>
        <sz val="11"/>
        <rFont val="Noto Sans CJK SC"/>
        <family val="2"/>
      </rPr>
      <t xml:space="preserve">합성</t>
    </r>
    <r>
      <rPr>
        <sz val="11"/>
        <rFont val="Arial"/>
        <family val="0"/>
        <charset val="1"/>
      </rPr>
      <t xml:space="preserve">)</t>
    </r>
  </si>
  <si>
    <t xml:space="preserve">MSCI Philippines IMI Index</t>
  </si>
  <si>
    <t xml:space="preserve">B6</t>
  </si>
  <si>
    <r>
      <rPr>
        <sz val="11"/>
        <rFont val="Noto Sans CJK SC"/>
        <family val="2"/>
      </rPr>
      <t xml:space="preserve">방어적 주식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배당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저변동</t>
    </r>
    <r>
      <rPr>
        <sz val="11"/>
        <rFont val="Arial"/>
        <family val="0"/>
        <charset val="1"/>
      </rPr>
      <t xml:space="preserve">)</t>
    </r>
  </si>
  <si>
    <t xml:space="preserve">A458730</t>
  </si>
  <si>
    <r>
      <rPr>
        <sz val="11"/>
        <rFont val="Arial"/>
        <family val="0"/>
        <charset val="1"/>
      </rPr>
      <t xml:space="preserve">TIGER </t>
    </r>
    <r>
      <rPr>
        <sz val="11"/>
        <rFont val="Noto Sans CJK SC"/>
        <family val="2"/>
      </rPr>
      <t xml:space="preserve">미국배당다우존스</t>
    </r>
  </si>
  <si>
    <t xml:space="preserve">Dow Jones U.S. Dividend 100 Price Return Index</t>
  </si>
  <si>
    <t xml:space="preserve">A161510</t>
  </si>
  <si>
    <r>
      <rPr>
        <sz val="11"/>
        <rFont val="Arial"/>
        <family val="0"/>
        <charset val="1"/>
      </rPr>
      <t xml:space="preserve">PLUS </t>
    </r>
    <r>
      <rPr>
        <sz val="11"/>
        <rFont val="Noto Sans CJK SC"/>
        <family val="2"/>
      </rPr>
      <t xml:space="preserve">고배당주</t>
    </r>
  </si>
  <si>
    <r>
      <rPr>
        <sz val="11"/>
        <rFont val="Arial"/>
        <family val="0"/>
        <charset val="1"/>
      </rPr>
      <t xml:space="preserve">FnGuide </t>
    </r>
    <r>
      <rPr>
        <sz val="11"/>
        <rFont val="Noto Sans CJK SC"/>
        <family val="2"/>
      </rPr>
      <t xml:space="preserve">배당주 지수</t>
    </r>
  </si>
  <si>
    <t xml:space="preserve">A466940</t>
  </si>
  <si>
    <r>
      <rPr>
        <sz val="11"/>
        <rFont val="Arial"/>
        <family val="0"/>
        <charset val="1"/>
      </rPr>
      <t xml:space="preserve">TIGER </t>
    </r>
    <r>
      <rPr>
        <sz val="11"/>
        <rFont val="Noto Sans CJK SC"/>
        <family val="2"/>
      </rPr>
      <t xml:space="preserve">은행고배당플러스</t>
    </r>
    <r>
      <rPr>
        <sz val="11"/>
        <rFont val="Arial"/>
        <family val="0"/>
        <charset val="1"/>
      </rPr>
      <t xml:space="preserve">TOP10</t>
    </r>
  </si>
  <si>
    <r>
      <rPr>
        <sz val="11"/>
        <rFont val="Arial"/>
        <family val="0"/>
        <charset val="1"/>
      </rPr>
      <t xml:space="preserve">FnGuide </t>
    </r>
    <r>
      <rPr>
        <sz val="11"/>
        <rFont val="Noto Sans CJK SC"/>
        <family val="2"/>
      </rPr>
      <t xml:space="preserve">은행고배당플러스</t>
    </r>
    <r>
      <rPr>
        <sz val="11"/>
        <rFont val="Arial"/>
        <family val="0"/>
        <charset val="1"/>
      </rPr>
      <t xml:space="preserve">TOP10 </t>
    </r>
    <r>
      <rPr>
        <sz val="11"/>
        <rFont val="Noto Sans CJK SC"/>
        <family val="2"/>
      </rPr>
      <t xml:space="preserve">지수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시장가격 지수</t>
    </r>
    <r>
      <rPr>
        <sz val="11"/>
        <rFont val="Arial"/>
        <family val="0"/>
        <charset val="1"/>
      </rPr>
      <t xml:space="preserve">)</t>
    </r>
  </si>
  <si>
    <t xml:space="preserve">A446720</t>
  </si>
  <si>
    <r>
      <rPr>
        <sz val="11"/>
        <rFont val="Arial"/>
        <family val="0"/>
        <charset val="1"/>
      </rPr>
      <t xml:space="preserve">SOL </t>
    </r>
    <r>
      <rPr>
        <sz val="11"/>
        <rFont val="Noto Sans CJK SC"/>
        <family val="2"/>
      </rPr>
      <t xml:space="preserve">미국배당다우존스</t>
    </r>
  </si>
  <si>
    <t xml:space="preserve">A402970</t>
  </si>
  <si>
    <r>
      <rPr>
        <sz val="11"/>
        <rFont val="Arial"/>
        <family val="0"/>
        <charset val="1"/>
      </rPr>
      <t xml:space="preserve">ACE </t>
    </r>
    <r>
      <rPr>
        <sz val="11"/>
        <rFont val="Noto Sans CJK SC"/>
        <family val="2"/>
      </rPr>
      <t xml:space="preserve">미국배당다우존스</t>
    </r>
  </si>
  <si>
    <t xml:space="preserve">A452360</t>
  </si>
  <si>
    <r>
      <rPr>
        <sz val="11"/>
        <rFont val="Arial"/>
        <family val="0"/>
        <charset val="1"/>
      </rPr>
      <t xml:space="preserve">SOL </t>
    </r>
    <r>
      <rPr>
        <sz val="11"/>
        <rFont val="Noto Sans CJK SC"/>
        <family val="2"/>
      </rPr>
      <t xml:space="preserve">미국배당다우존스</t>
    </r>
    <r>
      <rPr>
        <sz val="11"/>
        <rFont val="Arial"/>
        <family val="0"/>
        <charset val="1"/>
      </rPr>
      <t xml:space="preserve">(H)</t>
    </r>
  </si>
  <si>
    <t xml:space="preserve">A429000</t>
  </si>
  <si>
    <r>
      <rPr>
        <sz val="11"/>
        <rFont val="Arial"/>
        <family val="0"/>
        <charset val="1"/>
      </rPr>
      <t xml:space="preserve">TIGER </t>
    </r>
    <r>
      <rPr>
        <sz val="11"/>
        <rFont val="Noto Sans CJK SC"/>
        <family val="2"/>
      </rPr>
      <t xml:space="preserve">미국</t>
    </r>
    <r>
      <rPr>
        <sz val="11"/>
        <rFont val="Arial"/>
        <family val="0"/>
        <charset val="1"/>
      </rPr>
      <t xml:space="preserve">S&amp;P500</t>
    </r>
    <r>
      <rPr>
        <sz val="11"/>
        <rFont val="Noto Sans CJK SC"/>
        <family val="2"/>
      </rPr>
      <t xml:space="preserve">배당귀족</t>
    </r>
  </si>
  <si>
    <r>
      <rPr>
        <sz val="11"/>
        <rFont val="Arial"/>
        <family val="0"/>
        <charset val="1"/>
      </rPr>
      <t xml:space="preserve">S&amp;P 500 Dividend Aristocrats </t>
    </r>
    <r>
      <rPr>
        <sz val="11"/>
        <rFont val="Noto Sans CJK SC"/>
        <family val="2"/>
      </rPr>
      <t xml:space="preserve">지수 </t>
    </r>
    <r>
      <rPr>
        <sz val="11"/>
        <rFont val="Arial"/>
        <family val="0"/>
        <charset val="1"/>
      </rPr>
      <t xml:space="preserve">(Price Return)</t>
    </r>
  </si>
  <si>
    <t xml:space="preserve">A453640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</si>
  <si>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미국</t>
    </r>
    <r>
      <rPr>
        <sz val="11"/>
        <rFont val="Arial"/>
        <family val="0"/>
        <charset val="1"/>
      </rPr>
      <t xml:space="preserve">S&amp;P500</t>
    </r>
    <r>
      <rPr>
        <sz val="11"/>
        <rFont val="Noto Sans CJK SC"/>
        <family val="2"/>
      </rPr>
      <t xml:space="preserve">헬스케어</t>
    </r>
  </si>
  <si>
    <t xml:space="preserve">S&amp;P Health Care Select Sector Index(Price Return)</t>
  </si>
  <si>
    <t xml:space="preserve">A493420</t>
  </si>
  <si>
    <r>
      <rPr>
        <sz val="11"/>
        <rFont val="Arial"/>
        <family val="0"/>
        <charset val="1"/>
      </rPr>
      <t xml:space="preserve">SOL </t>
    </r>
    <r>
      <rPr>
        <sz val="11"/>
        <rFont val="Noto Sans CJK SC"/>
        <family val="2"/>
      </rPr>
      <t xml:space="preserve">미국배당다우존스</t>
    </r>
    <r>
      <rPr>
        <sz val="11"/>
        <rFont val="Arial"/>
        <family val="0"/>
        <charset val="1"/>
      </rPr>
      <t xml:space="preserve">TR</t>
    </r>
  </si>
  <si>
    <t xml:space="preserve">Dow Jones U.S. Dividend 100 Index(TR)</t>
  </si>
  <si>
    <t xml:space="preserve">A227540</t>
  </si>
  <si>
    <r>
      <rPr>
        <sz val="11"/>
        <rFont val="Arial"/>
        <family val="0"/>
        <charset val="1"/>
      </rPr>
      <t xml:space="preserve">TIGER 200 </t>
    </r>
    <r>
      <rPr>
        <sz val="11"/>
        <rFont val="Noto Sans CJK SC"/>
        <family val="2"/>
      </rPr>
      <t xml:space="preserve">헬스케어</t>
    </r>
  </si>
  <si>
    <r>
      <rPr>
        <sz val="11"/>
        <rFont val="Noto Sans CJK SC"/>
        <family val="2"/>
      </rPr>
      <t xml:space="preserve">코스피 </t>
    </r>
    <r>
      <rPr>
        <sz val="11"/>
        <rFont val="Arial"/>
        <family val="0"/>
        <charset val="1"/>
      </rPr>
      <t xml:space="preserve">200 </t>
    </r>
    <r>
      <rPr>
        <sz val="11"/>
        <rFont val="Noto Sans CJK SC"/>
        <family val="2"/>
      </rPr>
      <t xml:space="preserve">헬스케어</t>
    </r>
  </si>
  <si>
    <t xml:space="preserve">A245350</t>
  </si>
  <si>
    <r>
      <rPr>
        <sz val="11"/>
        <rFont val="Arial"/>
        <family val="0"/>
        <charset val="1"/>
      </rPr>
      <t xml:space="preserve">TIGER </t>
    </r>
    <r>
      <rPr>
        <sz val="11"/>
        <rFont val="Noto Sans CJK SC"/>
        <family val="2"/>
      </rPr>
      <t xml:space="preserve">유로스탁스배당</t>
    </r>
    <r>
      <rPr>
        <sz val="11"/>
        <rFont val="Arial"/>
        <family val="0"/>
        <charset val="1"/>
      </rPr>
      <t xml:space="preserve">30</t>
    </r>
  </si>
  <si>
    <t xml:space="preserve">Euro STOXX Select Dividend 30</t>
  </si>
  <si>
    <t xml:space="preserve">A460660</t>
  </si>
  <si>
    <r>
      <rPr>
        <sz val="11"/>
        <rFont val="Arial"/>
        <family val="0"/>
        <charset val="1"/>
      </rPr>
      <t xml:space="preserve">RISE </t>
    </r>
    <r>
      <rPr>
        <sz val="11"/>
        <rFont val="Noto Sans CJK SC"/>
        <family val="2"/>
      </rPr>
      <t xml:space="preserve">미국</t>
    </r>
    <r>
      <rPr>
        <sz val="11"/>
        <rFont val="Arial"/>
        <family val="0"/>
        <charset val="1"/>
      </rPr>
      <t xml:space="preserve">S&amp;P</t>
    </r>
    <r>
      <rPr>
        <sz val="11"/>
        <rFont val="Noto Sans CJK SC"/>
        <family val="2"/>
      </rPr>
      <t xml:space="preserve">배당킹</t>
    </r>
  </si>
  <si>
    <t xml:space="preserve">S&amp;P Dividend Monarchs Index(Price Return)</t>
  </si>
  <si>
    <t xml:space="preserve">A453630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</si>
  <si>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미국</t>
    </r>
    <r>
      <rPr>
        <sz val="11"/>
        <rFont val="Arial"/>
        <family val="0"/>
        <charset val="1"/>
      </rPr>
      <t xml:space="preserve">S&amp;P500</t>
    </r>
    <r>
      <rPr>
        <sz val="11"/>
        <rFont val="Noto Sans CJK SC"/>
        <family val="2"/>
      </rPr>
      <t xml:space="preserve">필수소비재</t>
    </r>
  </si>
  <si>
    <t xml:space="preserve">S&amp;P Consumer Staples Select Sector Index(Price Return)</t>
  </si>
  <si>
    <t xml:space="preserve">A463640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</si>
  <si>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미국</t>
    </r>
    <r>
      <rPr>
        <sz val="11"/>
        <rFont val="Arial"/>
        <family val="0"/>
        <charset val="1"/>
      </rPr>
      <t xml:space="preserve">S&amp;P500</t>
    </r>
    <r>
      <rPr>
        <sz val="11"/>
        <rFont val="Noto Sans CJK SC"/>
        <family val="2"/>
      </rPr>
      <t xml:space="preserve">유틸리티</t>
    </r>
  </si>
  <si>
    <t xml:space="preserve">S&amp;P Utilities Select Sector Index(Price Return)</t>
  </si>
  <si>
    <t xml:space="preserve">A174350</t>
  </si>
  <si>
    <r>
      <rPr>
        <sz val="11"/>
        <rFont val="Arial"/>
        <family val="0"/>
        <charset val="1"/>
      </rPr>
      <t xml:space="preserve">TIGER </t>
    </r>
    <r>
      <rPr>
        <sz val="11"/>
        <rFont val="Noto Sans CJK SC"/>
        <family val="2"/>
      </rPr>
      <t xml:space="preserve">로우볼</t>
    </r>
  </si>
  <si>
    <r>
      <rPr>
        <sz val="11"/>
        <rFont val="Arial"/>
        <family val="0"/>
        <charset val="1"/>
      </rPr>
      <t xml:space="preserve">FnGuide </t>
    </r>
    <r>
      <rPr>
        <sz val="11"/>
        <rFont val="Noto Sans CJK SC"/>
        <family val="2"/>
      </rPr>
      <t xml:space="preserve">로우볼 지수</t>
    </r>
  </si>
  <si>
    <t xml:space="preserve">A227570</t>
  </si>
  <si>
    <r>
      <rPr>
        <sz val="11"/>
        <rFont val="Arial"/>
        <family val="0"/>
        <charset val="1"/>
      </rPr>
      <t xml:space="preserve">TIGER </t>
    </r>
    <r>
      <rPr>
        <sz val="11"/>
        <rFont val="Noto Sans CJK SC"/>
        <family val="2"/>
      </rPr>
      <t xml:space="preserve">우량가치</t>
    </r>
  </si>
  <si>
    <r>
      <rPr>
        <sz val="11"/>
        <rFont val="Arial"/>
        <family val="0"/>
        <charset val="1"/>
      </rPr>
      <t xml:space="preserve">FnGuide </t>
    </r>
    <r>
      <rPr>
        <sz val="11"/>
        <rFont val="Noto Sans CJK SC"/>
        <family val="2"/>
      </rPr>
      <t xml:space="preserve">퀄리티 밸류 지수</t>
    </r>
  </si>
  <si>
    <t xml:space="preserve">A227560</t>
  </si>
  <si>
    <r>
      <rPr>
        <sz val="11"/>
        <rFont val="Arial"/>
        <family val="0"/>
        <charset val="1"/>
      </rPr>
      <t xml:space="preserve">TIGER 200 </t>
    </r>
    <r>
      <rPr>
        <sz val="11"/>
        <rFont val="Noto Sans CJK SC"/>
        <family val="2"/>
      </rPr>
      <t xml:space="preserve">생활소비재</t>
    </r>
  </si>
  <si>
    <r>
      <rPr>
        <sz val="11"/>
        <rFont val="Noto Sans CJK SC"/>
        <family val="2"/>
      </rPr>
      <t xml:space="preserve">코스피 </t>
    </r>
    <r>
      <rPr>
        <sz val="11"/>
        <rFont val="Arial"/>
        <family val="0"/>
        <charset val="1"/>
      </rPr>
      <t xml:space="preserve">200 </t>
    </r>
    <r>
      <rPr>
        <sz val="11"/>
        <rFont val="Noto Sans CJK SC"/>
        <family val="2"/>
      </rPr>
      <t xml:space="preserve">생활소비재</t>
    </r>
  </si>
  <si>
    <t xml:space="preserve">B7</t>
  </si>
  <si>
    <r>
      <rPr>
        <sz val="11"/>
        <rFont val="Noto Sans CJK SC"/>
        <family val="2"/>
      </rPr>
      <t xml:space="preserve">리츠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부동산</t>
    </r>
    <r>
      <rPr>
        <sz val="11"/>
        <rFont val="Arial"/>
        <family val="0"/>
        <charset val="1"/>
      </rPr>
      <t xml:space="preserve">)</t>
    </r>
  </si>
  <si>
    <t xml:space="preserve">A182480</t>
  </si>
  <si>
    <r>
      <rPr>
        <sz val="11"/>
        <rFont val="Arial"/>
        <family val="0"/>
        <charset val="1"/>
      </rPr>
      <t xml:space="preserve">TIGER </t>
    </r>
    <r>
      <rPr>
        <sz val="11"/>
        <rFont val="Noto Sans CJK SC"/>
        <family val="2"/>
      </rPr>
      <t xml:space="preserve">미국</t>
    </r>
    <r>
      <rPr>
        <sz val="11"/>
        <rFont val="Arial"/>
        <family val="0"/>
        <charset val="1"/>
      </rPr>
      <t xml:space="preserve">MSCI</t>
    </r>
    <r>
      <rPr>
        <sz val="11"/>
        <rFont val="Noto Sans CJK SC"/>
        <family val="2"/>
      </rPr>
      <t xml:space="preserve">리츠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합성 </t>
    </r>
    <r>
      <rPr>
        <sz val="11"/>
        <rFont val="Arial"/>
        <family val="0"/>
        <charset val="1"/>
      </rPr>
      <t xml:space="preserve">H)</t>
    </r>
  </si>
  <si>
    <t xml:space="preserve">MSCI US REIT INDEX</t>
  </si>
  <si>
    <t xml:space="preserve">A352560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</si>
  <si>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미국부동산리츠</t>
    </r>
    <r>
      <rPr>
        <sz val="11"/>
        <rFont val="Arial"/>
        <family val="0"/>
        <charset val="1"/>
      </rPr>
      <t xml:space="preserve">(H)</t>
    </r>
  </si>
  <si>
    <t xml:space="preserve">Dow Jones U.S. Real Estate PR Index</t>
  </si>
  <si>
    <t xml:space="preserve">B8</t>
  </si>
  <si>
    <r>
      <rPr>
        <sz val="11"/>
        <rFont val="Noto Sans CJK SC"/>
        <family val="2"/>
      </rPr>
      <t xml:space="preserve">경기민감 원자재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에너지</t>
    </r>
  </si>
  <si>
    <t xml:space="preserve">A261220</t>
  </si>
  <si>
    <r>
      <rPr>
        <sz val="11"/>
        <rFont val="Arial"/>
        <family val="0"/>
        <charset val="1"/>
      </rPr>
      <t xml:space="preserve">KODEX WTI</t>
    </r>
    <r>
      <rPr>
        <sz val="11"/>
        <rFont val="Noto Sans CJK SC"/>
        <family val="2"/>
      </rPr>
      <t xml:space="preserve">원유선물</t>
    </r>
    <r>
      <rPr>
        <sz val="11"/>
        <rFont val="Arial"/>
        <family val="0"/>
        <charset val="1"/>
      </rPr>
      <t xml:space="preserve">(H)</t>
    </r>
  </si>
  <si>
    <t xml:space="preserve">S&amp;P GSCI Crude Oil Index ER</t>
  </si>
  <si>
    <t xml:space="preserve">A218420</t>
  </si>
  <si>
    <r>
      <rPr>
        <sz val="11"/>
        <rFont val="Arial"/>
        <family val="0"/>
        <charset val="1"/>
      </rPr>
      <t xml:space="preserve">KODEX </t>
    </r>
    <r>
      <rPr>
        <sz val="11"/>
        <rFont val="Noto Sans CJK SC"/>
        <family val="2"/>
      </rPr>
      <t xml:space="preserve">미국</t>
    </r>
    <r>
      <rPr>
        <sz val="11"/>
        <rFont val="Arial"/>
        <family val="0"/>
        <charset val="1"/>
      </rPr>
      <t xml:space="preserve">S&amp;P500</t>
    </r>
    <r>
      <rPr>
        <sz val="11"/>
        <rFont val="Noto Sans CJK SC"/>
        <family val="2"/>
      </rPr>
      <t xml:space="preserve">에너지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합성</t>
    </r>
    <r>
      <rPr>
        <sz val="11"/>
        <rFont val="Arial"/>
        <family val="0"/>
        <charset val="1"/>
      </rPr>
      <t xml:space="preserve">)</t>
    </r>
  </si>
  <si>
    <t xml:space="preserve">S&amp;P Select Sector Energy Index</t>
  </si>
  <si>
    <t xml:space="preserve">A139250</t>
  </si>
  <si>
    <r>
      <rPr>
        <sz val="11"/>
        <rFont val="Arial"/>
        <family val="0"/>
        <charset val="1"/>
      </rPr>
      <t xml:space="preserve">TIGER 200 </t>
    </r>
    <r>
      <rPr>
        <sz val="11"/>
        <rFont val="Noto Sans CJK SC"/>
        <family val="2"/>
      </rPr>
      <t xml:space="preserve">에너지화학</t>
    </r>
  </si>
  <si>
    <r>
      <rPr>
        <sz val="11"/>
        <rFont val="Noto Sans CJK SC"/>
        <family val="2"/>
      </rPr>
      <t xml:space="preserve">코스피 </t>
    </r>
    <r>
      <rPr>
        <sz val="11"/>
        <rFont val="Arial"/>
        <family val="0"/>
        <charset val="1"/>
      </rPr>
      <t xml:space="preserve">200 </t>
    </r>
    <r>
      <rPr>
        <sz val="11"/>
        <rFont val="Noto Sans CJK SC"/>
        <family val="2"/>
      </rPr>
      <t xml:space="preserve">에너지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화학</t>
    </r>
  </si>
  <si>
    <t xml:space="preserve">A271060</t>
  </si>
  <si>
    <r>
      <rPr>
        <sz val="11"/>
        <rFont val="Arial"/>
        <family val="0"/>
        <charset val="1"/>
      </rPr>
      <t xml:space="preserve">KODEX 3</t>
    </r>
    <r>
      <rPr>
        <sz val="11"/>
        <rFont val="Noto Sans CJK SC"/>
        <family val="2"/>
      </rPr>
      <t xml:space="preserve">대농산물선물</t>
    </r>
    <r>
      <rPr>
        <sz val="11"/>
        <rFont val="Arial"/>
        <family val="0"/>
        <charset val="1"/>
      </rPr>
      <t xml:space="preserve">(H)</t>
    </r>
  </si>
  <si>
    <t xml:space="preserve">S&amp;P GSCI Grains Select Index Excess Return</t>
  </si>
  <si>
    <t xml:space="preserve">B9</t>
  </si>
  <si>
    <r>
      <rPr>
        <sz val="11"/>
        <rFont val="Noto Sans CJK SC"/>
        <family val="2"/>
      </rPr>
      <t xml:space="preserve">위험 크레딧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하이일드</t>
    </r>
    <r>
      <rPr>
        <sz val="11"/>
        <rFont val="Arial"/>
        <family val="0"/>
        <charset val="1"/>
      </rPr>
      <t xml:space="preserve">)</t>
    </r>
  </si>
  <si>
    <t xml:space="preserve">A468380</t>
  </si>
  <si>
    <r>
      <rPr>
        <sz val="11"/>
        <rFont val="Arial"/>
        <family val="0"/>
        <charset val="1"/>
      </rPr>
      <t xml:space="preserve">KODEX iShares</t>
    </r>
    <r>
      <rPr>
        <sz val="11"/>
        <rFont val="Noto Sans CJK SC"/>
        <family val="2"/>
      </rPr>
      <t xml:space="preserve">미국하이일드액티브</t>
    </r>
  </si>
  <si>
    <t xml:space="preserve">ICE BofAML US HY Constrained Index(Total Return)</t>
  </si>
  <si>
    <t xml:space="preserve">A455660</t>
  </si>
  <si>
    <r>
      <rPr>
        <sz val="11"/>
        <rFont val="Arial"/>
        <family val="0"/>
        <charset val="1"/>
      </rPr>
      <t xml:space="preserve">ACE </t>
    </r>
    <r>
      <rPr>
        <sz val="11"/>
        <rFont val="Noto Sans CJK SC"/>
        <family val="2"/>
      </rPr>
      <t xml:space="preserve">미국하이일드액티브</t>
    </r>
    <r>
      <rPr>
        <sz val="11"/>
        <rFont val="Arial"/>
        <family val="0"/>
        <charset val="1"/>
      </rPr>
      <t xml:space="preserve">(H)</t>
    </r>
  </si>
  <si>
    <t xml:space="preserve">Markit iBoxx USD Liquid High Yield Total Return Index</t>
  </si>
  <si>
    <t xml:space="preserve">A182490</t>
  </si>
  <si>
    <r>
      <rPr>
        <sz val="11"/>
        <rFont val="Arial"/>
        <family val="0"/>
        <charset val="1"/>
      </rPr>
      <t xml:space="preserve">TIGER </t>
    </r>
    <r>
      <rPr>
        <sz val="11"/>
        <rFont val="Noto Sans CJK SC"/>
        <family val="2"/>
      </rPr>
      <t xml:space="preserve">단기선진하이일드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합성 </t>
    </r>
    <r>
      <rPr>
        <sz val="11"/>
        <rFont val="Arial"/>
        <family val="0"/>
        <charset val="1"/>
      </rPr>
      <t xml:space="preserve">H)</t>
    </r>
  </si>
  <si>
    <t xml:space="preserve">Markit iBoxx USD Liquid High Yield 0-5 year Index</t>
  </si>
  <si>
    <t xml:space="preserve">종목수</t>
  </si>
  <si>
    <r>
      <rPr>
        <b val="true"/>
        <sz val="11"/>
        <color rgb="FFFFFFFF"/>
        <rFont val="Arial"/>
        <family val="0"/>
        <charset val="1"/>
      </rPr>
      <t xml:space="preserve">AUM</t>
    </r>
    <r>
      <rPr>
        <b val="true"/>
        <sz val="11"/>
        <color rgb="FFFFFFFF"/>
        <rFont val="Noto Sans CJK SC"/>
        <family val="2"/>
      </rPr>
      <t xml:space="preserve">합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억원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</si>
  <si>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AUM</t>
    </r>
    <r>
      <rPr>
        <b val="true"/>
        <sz val="11"/>
        <color rgb="FFFFFFFF"/>
        <rFont val="Noto Sans CJK SC"/>
        <family val="2"/>
      </rPr>
      <t xml:space="preserve">비중</t>
    </r>
  </si>
  <si>
    <t xml:space="preserve">합계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</si>
</sst>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name val="Noto Sans CJK SC"/>
      <family val="2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5" min="5" style="0" width="34"/>
    <col collapsed="false" customWidth="true" hidden="false" outlineLevel="0" max="6" min="6" style="0" width="12"/>
    <col collapsed="false" customWidth="true" hidden="false" outlineLevel="0" max="7" min="7" style="0" width="40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8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7.15" hidden="false" customHeight="false" outlineLevel="0" collapsed="false">
      <c r="A2" s="3" t="s">
        <v>10</v>
      </c>
      <c r="B2" s="4" t="s">
        <v>11</v>
      </c>
      <c r="C2" s="5" t="s">
        <v>12</v>
      </c>
      <c r="D2" s="4" t="s">
        <v>13</v>
      </c>
      <c r="E2" s="4" t="s">
        <v>14</v>
      </c>
      <c r="F2" s="6" t="n">
        <v>79731</v>
      </c>
      <c r="G2" s="4" t="s">
        <v>15</v>
      </c>
      <c r="H2" s="5" t="s">
        <v>16</v>
      </c>
      <c r="I2" s="5" t="s">
        <v>17</v>
      </c>
      <c r="J2" s="4" t="s">
        <v>18</v>
      </c>
    </row>
    <row r="3" customFormat="false" ht="17.15" hidden="false" customHeight="false" outlineLevel="0" collapsed="false">
      <c r="A3" s="3" t="s">
        <v>10</v>
      </c>
      <c r="B3" s="4" t="s">
        <v>11</v>
      </c>
      <c r="C3" s="5" t="s">
        <v>12</v>
      </c>
      <c r="D3" s="4" t="s">
        <v>19</v>
      </c>
      <c r="E3" s="4" t="s">
        <v>20</v>
      </c>
      <c r="F3" s="6" t="n">
        <v>72891</v>
      </c>
      <c r="G3" s="4" t="s">
        <v>21</v>
      </c>
      <c r="H3" s="5" t="s">
        <v>16</v>
      </c>
      <c r="I3" s="5" t="s">
        <v>17</v>
      </c>
      <c r="J3" s="5"/>
    </row>
    <row r="4" customFormat="false" ht="17.15" hidden="false" customHeight="false" outlineLevel="0" collapsed="false">
      <c r="A4" s="3" t="s">
        <v>10</v>
      </c>
      <c r="B4" s="4" t="s">
        <v>11</v>
      </c>
      <c r="C4" s="5" t="s">
        <v>12</v>
      </c>
      <c r="D4" s="4" t="s">
        <v>22</v>
      </c>
      <c r="E4" s="4" t="s">
        <v>23</v>
      </c>
      <c r="F4" s="6" t="n">
        <v>43045</v>
      </c>
      <c r="G4" s="4" t="s">
        <v>24</v>
      </c>
      <c r="H4" s="5" t="s">
        <v>16</v>
      </c>
      <c r="I4" s="5" t="s">
        <v>17</v>
      </c>
      <c r="J4" s="5"/>
    </row>
    <row r="5" customFormat="false" ht="17.15" hidden="false" customHeight="false" outlineLevel="0" collapsed="false">
      <c r="A5" s="3" t="s">
        <v>10</v>
      </c>
      <c r="B5" s="4" t="s">
        <v>11</v>
      </c>
      <c r="C5" s="5" t="s">
        <v>12</v>
      </c>
      <c r="D5" s="4" t="s">
        <v>25</v>
      </c>
      <c r="E5" s="4" t="s">
        <v>26</v>
      </c>
      <c r="F5" s="6" t="n">
        <v>22406</v>
      </c>
      <c r="G5" s="4" t="s">
        <v>27</v>
      </c>
      <c r="H5" s="5" t="s">
        <v>16</v>
      </c>
      <c r="I5" s="5" t="s">
        <v>17</v>
      </c>
      <c r="J5" s="5"/>
    </row>
    <row r="6" customFormat="false" ht="17.15" hidden="false" customHeight="false" outlineLevel="0" collapsed="false">
      <c r="A6" s="3" t="s">
        <v>10</v>
      </c>
      <c r="B6" s="4" t="s">
        <v>11</v>
      </c>
      <c r="C6" s="5" t="s">
        <v>12</v>
      </c>
      <c r="D6" s="4" t="s">
        <v>28</v>
      </c>
      <c r="E6" s="4" t="s">
        <v>29</v>
      </c>
      <c r="F6" s="6" t="n">
        <v>12843</v>
      </c>
      <c r="G6" s="4" t="s">
        <v>30</v>
      </c>
      <c r="H6" s="5" t="s">
        <v>16</v>
      </c>
      <c r="I6" s="5" t="s">
        <v>31</v>
      </c>
      <c r="J6" s="5"/>
    </row>
    <row r="7" customFormat="false" ht="17.15" hidden="false" customHeight="false" outlineLevel="0" collapsed="false">
      <c r="A7" s="3" t="s">
        <v>10</v>
      </c>
      <c r="B7" s="4" t="s">
        <v>11</v>
      </c>
      <c r="C7" s="5" t="s">
        <v>12</v>
      </c>
      <c r="D7" s="4" t="s">
        <v>32</v>
      </c>
      <c r="E7" s="4" t="s">
        <v>33</v>
      </c>
      <c r="F7" s="6" t="n">
        <v>9750</v>
      </c>
      <c r="G7" s="4" t="s">
        <v>34</v>
      </c>
      <c r="H7" s="5" t="s">
        <v>16</v>
      </c>
      <c r="I7" s="5" t="s">
        <v>35</v>
      </c>
      <c r="J7" s="5"/>
    </row>
    <row r="8" customFormat="false" ht="17.15" hidden="false" customHeight="false" outlineLevel="0" collapsed="false">
      <c r="A8" s="3" t="s">
        <v>10</v>
      </c>
      <c r="B8" s="4" t="s">
        <v>11</v>
      </c>
      <c r="C8" s="5" t="s">
        <v>12</v>
      </c>
      <c r="D8" s="4" t="s">
        <v>36</v>
      </c>
      <c r="E8" s="4" t="s">
        <v>37</v>
      </c>
      <c r="F8" s="6" t="n">
        <v>9092</v>
      </c>
      <c r="G8" s="4" t="s">
        <v>38</v>
      </c>
      <c r="H8" s="5" t="s">
        <v>16</v>
      </c>
      <c r="I8" s="5" t="s">
        <v>17</v>
      </c>
      <c r="J8" s="5"/>
    </row>
    <row r="9" customFormat="false" ht="17.15" hidden="false" customHeight="false" outlineLevel="0" collapsed="false">
      <c r="A9" s="3" t="s">
        <v>10</v>
      </c>
      <c r="B9" s="4" t="s">
        <v>11</v>
      </c>
      <c r="C9" s="5" t="s">
        <v>12</v>
      </c>
      <c r="D9" s="4" t="s">
        <v>39</v>
      </c>
      <c r="E9" s="4" t="s">
        <v>40</v>
      </c>
      <c r="F9" s="6" t="n">
        <v>7321</v>
      </c>
      <c r="G9" s="4" t="s">
        <v>41</v>
      </c>
      <c r="H9" s="5" t="s">
        <v>16</v>
      </c>
      <c r="I9" s="5" t="s">
        <v>17</v>
      </c>
      <c r="J9" s="5"/>
    </row>
    <row r="10" customFormat="false" ht="17.15" hidden="false" customHeight="false" outlineLevel="0" collapsed="false">
      <c r="A10" s="3" t="s">
        <v>10</v>
      </c>
      <c r="B10" s="4" t="s">
        <v>11</v>
      </c>
      <c r="C10" s="5" t="s">
        <v>12</v>
      </c>
      <c r="D10" s="4" t="s">
        <v>42</v>
      </c>
      <c r="E10" s="4" t="s">
        <v>43</v>
      </c>
      <c r="F10" s="6" t="n">
        <v>6550</v>
      </c>
      <c r="G10" s="4" t="s">
        <v>44</v>
      </c>
      <c r="H10" s="5" t="s">
        <v>16</v>
      </c>
      <c r="I10" s="5" t="s">
        <v>17</v>
      </c>
      <c r="J10" s="5"/>
    </row>
    <row r="11" customFormat="false" ht="17.15" hidden="false" customHeight="false" outlineLevel="0" collapsed="false">
      <c r="A11" s="3" t="s">
        <v>10</v>
      </c>
      <c r="B11" s="4" t="s">
        <v>11</v>
      </c>
      <c r="C11" s="5" t="s">
        <v>12</v>
      </c>
      <c r="D11" s="4" t="s">
        <v>45</v>
      </c>
      <c r="E11" s="4" t="s">
        <v>46</v>
      </c>
      <c r="F11" s="6" t="n">
        <v>4708</v>
      </c>
      <c r="G11" s="4" t="s">
        <v>47</v>
      </c>
      <c r="H11" s="5" t="s">
        <v>16</v>
      </c>
      <c r="I11" s="5" t="s">
        <v>48</v>
      </c>
      <c r="J11" s="5"/>
    </row>
    <row r="12" customFormat="false" ht="17.15" hidden="false" customHeight="false" outlineLevel="0" collapsed="false">
      <c r="A12" s="3" t="s">
        <v>10</v>
      </c>
      <c r="B12" s="4" t="s">
        <v>11</v>
      </c>
      <c r="C12" s="5" t="s">
        <v>12</v>
      </c>
      <c r="D12" s="4" t="s">
        <v>49</v>
      </c>
      <c r="E12" s="4" t="s">
        <v>50</v>
      </c>
      <c r="F12" s="6" t="n">
        <v>2081</v>
      </c>
      <c r="G12" s="4" t="s">
        <v>51</v>
      </c>
      <c r="H12" s="5" t="s">
        <v>16</v>
      </c>
      <c r="I12" s="5" t="s">
        <v>17</v>
      </c>
      <c r="J12" s="5"/>
    </row>
    <row r="13" customFormat="false" ht="17.15" hidden="false" customHeight="false" outlineLevel="0" collapsed="false">
      <c r="A13" s="3" t="s">
        <v>10</v>
      </c>
      <c r="B13" s="4" t="s">
        <v>11</v>
      </c>
      <c r="C13" s="5" t="s">
        <v>12</v>
      </c>
      <c r="D13" s="4" t="s">
        <v>52</v>
      </c>
      <c r="E13" s="4" t="s">
        <v>53</v>
      </c>
      <c r="F13" s="6" t="n">
        <v>1915</v>
      </c>
      <c r="G13" s="4" t="s">
        <v>54</v>
      </c>
      <c r="H13" s="5" t="s">
        <v>16</v>
      </c>
      <c r="I13" s="5" t="s">
        <v>35</v>
      </c>
      <c r="J13" s="5"/>
    </row>
    <row r="14" customFormat="false" ht="17.15" hidden="false" customHeight="false" outlineLevel="0" collapsed="false">
      <c r="A14" s="3" t="s">
        <v>10</v>
      </c>
      <c r="B14" s="4" t="s">
        <v>11</v>
      </c>
      <c r="C14" s="5" t="s">
        <v>12</v>
      </c>
      <c r="D14" s="4" t="s">
        <v>55</v>
      </c>
      <c r="E14" s="4" t="s">
        <v>56</v>
      </c>
      <c r="F14" s="6" t="n">
        <v>602</v>
      </c>
      <c r="G14" s="4" t="s">
        <v>57</v>
      </c>
      <c r="H14" s="5" t="s">
        <v>16</v>
      </c>
      <c r="I14" s="5" t="s">
        <v>17</v>
      </c>
      <c r="J14" s="5"/>
    </row>
    <row r="15" customFormat="false" ht="17.15" hidden="false" customHeight="false" outlineLevel="0" collapsed="false">
      <c r="A15" s="3" t="s">
        <v>10</v>
      </c>
      <c r="B15" s="4" t="s">
        <v>11</v>
      </c>
      <c r="C15" s="5" t="s">
        <v>12</v>
      </c>
      <c r="D15" s="4" t="s">
        <v>58</v>
      </c>
      <c r="E15" s="4" t="s">
        <v>59</v>
      </c>
      <c r="F15" s="6" t="n">
        <v>532</v>
      </c>
      <c r="G15" s="4" t="s">
        <v>60</v>
      </c>
      <c r="H15" s="5" t="s">
        <v>16</v>
      </c>
      <c r="I15" s="5" t="s">
        <v>31</v>
      </c>
      <c r="J15" s="5"/>
    </row>
    <row r="16" customFormat="false" ht="17.15" hidden="false" customHeight="false" outlineLevel="0" collapsed="false">
      <c r="A16" s="3" t="s">
        <v>10</v>
      </c>
      <c r="B16" s="4" t="s">
        <v>61</v>
      </c>
      <c r="C16" s="5" t="s">
        <v>62</v>
      </c>
      <c r="D16" s="4" t="s">
        <v>63</v>
      </c>
      <c r="E16" s="4" t="s">
        <v>64</v>
      </c>
      <c r="F16" s="6" t="n">
        <v>38484</v>
      </c>
      <c r="G16" s="4" t="s">
        <v>65</v>
      </c>
      <c r="H16" s="5" t="s">
        <v>16</v>
      </c>
      <c r="I16" s="5" t="s">
        <v>31</v>
      </c>
      <c r="J16" s="4" t="s">
        <v>18</v>
      </c>
    </row>
    <row r="17" customFormat="false" ht="17.15" hidden="false" customHeight="false" outlineLevel="0" collapsed="false">
      <c r="A17" s="3" t="s">
        <v>10</v>
      </c>
      <c r="B17" s="4" t="s">
        <v>61</v>
      </c>
      <c r="C17" s="5" t="s">
        <v>62</v>
      </c>
      <c r="D17" s="4" t="s">
        <v>66</v>
      </c>
      <c r="E17" s="4" t="s">
        <v>67</v>
      </c>
      <c r="F17" s="6" t="n">
        <v>17737</v>
      </c>
      <c r="G17" s="4" t="s">
        <v>68</v>
      </c>
      <c r="H17" s="5" t="s">
        <v>16</v>
      </c>
      <c r="I17" s="5" t="s">
        <v>31</v>
      </c>
      <c r="J17" s="5"/>
    </row>
    <row r="18" customFormat="false" ht="17.15" hidden="false" customHeight="false" outlineLevel="0" collapsed="false">
      <c r="A18" s="3" t="s">
        <v>10</v>
      </c>
      <c r="B18" s="4" t="s">
        <v>61</v>
      </c>
      <c r="C18" s="5" t="s">
        <v>62</v>
      </c>
      <c r="D18" s="4" t="s">
        <v>69</v>
      </c>
      <c r="E18" s="4" t="s">
        <v>70</v>
      </c>
      <c r="F18" s="6" t="n">
        <v>10134</v>
      </c>
      <c r="G18" s="4" t="s">
        <v>71</v>
      </c>
      <c r="H18" s="5" t="s">
        <v>16</v>
      </c>
      <c r="I18" s="5" t="s">
        <v>31</v>
      </c>
      <c r="J18" s="5"/>
    </row>
    <row r="19" customFormat="false" ht="17.15" hidden="false" customHeight="false" outlineLevel="0" collapsed="false">
      <c r="A19" s="3" t="s">
        <v>10</v>
      </c>
      <c r="B19" s="4" t="s">
        <v>61</v>
      </c>
      <c r="C19" s="5" t="s">
        <v>62</v>
      </c>
      <c r="D19" s="4" t="s">
        <v>72</v>
      </c>
      <c r="E19" s="4" t="s">
        <v>73</v>
      </c>
      <c r="F19" s="6" t="n">
        <v>6984</v>
      </c>
      <c r="G19" s="4" t="s">
        <v>74</v>
      </c>
      <c r="H19" s="5" t="s">
        <v>16</v>
      </c>
      <c r="I19" s="5" t="s">
        <v>31</v>
      </c>
      <c r="J19" s="5"/>
    </row>
    <row r="20" customFormat="false" ht="17.15" hidden="false" customHeight="false" outlineLevel="0" collapsed="false">
      <c r="A20" s="3" t="s">
        <v>10</v>
      </c>
      <c r="B20" s="4" t="s">
        <v>61</v>
      </c>
      <c r="C20" s="5" t="s">
        <v>62</v>
      </c>
      <c r="D20" s="4" t="s">
        <v>75</v>
      </c>
      <c r="E20" s="4" t="s">
        <v>76</v>
      </c>
      <c r="F20" s="6" t="n">
        <v>5353</v>
      </c>
      <c r="G20" s="4" t="s">
        <v>77</v>
      </c>
      <c r="H20" s="5" t="s">
        <v>16</v>
      </c>
      <c r="I20" s="5" t="s">
        <v>35</v>
      </c>
      <c r="J20" s="5"/>
    </row>
    <row r="21" customFormat="false" ht="17.15" hidden="false" customHeight="false" outlineLevel="0" collapsed="false">
      <c r="A21" s="3" t="s">
        <v>10</v>
      </c>
      <c r="B21" s="4" t="s">
        <v>61</v>
      </c>
      <c r="C21" s="5" t="s">
        <v>62</v>
      </c>
      <c r="D21" s="4" t="s">
        <v>78</v>
      </c>
      <c r="E21" s="4" t="s">
        <v>79</v>
      </c>
      <c r="F21" s="6" t="n">
        <v>4925</v>
      </c>
      <c r="G21" s="4" t="s">
        <v>80</v>
      </c>
      <c r="H21" s="5" t="s">
        <v>16</v>
      </c>
      <c r="I21" s="5" t="s">
        <v>35</v>
      </c>
      <c r="J21" s="5"/>
    </row>
    <row r="22" customFormat="false" ht="17.15" hidden="false" customHeight="false" outlineLevel="0" collapsed="false">
      <c r="A22" s="3" t="s">
        <v>10</v>
      </c>
      <c r="B22" s="4" t="s">
        <v>61</v>
      </c>
      <c r="C22" s="5" t="s">
        <v>62</v>
      </c>
      <c r="D22" s="4" t="s">
        <v>81</v>
      </c>
      <c r="E22" s="4" t="s">
        <v>82</v>
      </c>
      <c r="F22" s="6" t="n">
        <v>3669</v>
      </c>
      <c r="G22" s="4" t="s">
        <v>83</v>
      </c>
      <c r="H22" s="5" t="s">
        <v>16</v>
      </c>
      <c r="I22" s="5" t="s">
        <v>31</v>
      </c>
      <c r="J22" s="5"/>
    </row>
    <row r="23" customFormat="false" ht="17.15" hidden="false" customHeight="false" outlineLevel="0" collapsed="false">
      <c r="A23" s="3" t="s">
        <v>10</v>
      </c>
      <c r="B23" s="4" t="s">
        <v>61</v>
      </c>
      <c r="C23" s="5" t="s">
        <v>62</v>
      </c>
      <c r="D23" s="4" t="s">
        <v>84</v>
      </c>
      <c r="E23" s="4" t="s">
        <v>85</v>
      </c>
      <c r="F23" s="6" t="n">
        <v>3549</v>
      </c>
      <c r="G23" s="4" t="s">
        <v>86</v>
      </c>
      <c r="H23" s="5" t="s">
        <v>16</v>
      </c>
      <c r="I23" s="5" t="s">
        <v>35</v>
      </c>
      <c r="J23" s="5"/>
    </row>
    <row r="24" customFormat="false" ht="17.15" hidden="false" customHeight="false" outlineLevel="0" collapsed="false">
      <c r="A24" s="3" t="s">
        <v>10</v>
      </c>
      <c r="B24" s="4" t="s">
        <v>61</v>
      </c>
      <c r="C24" s="5" t="s">
        <v>62</v>
      </c>
      <c r="D24" s="4" t="s">
        <v>87</v>
      </c>
      <c r="E24" s="4" t="s">
        <v>88</v>
      </c>
      <c r="F24" s="6" t="n">
        <v>3200</v>
      </c>
      <c r="G24" s="4" t="s">
        <v>89</v>
      </c>
      <c r="H24" s="5" t="s">
        <v>16</v>
      </c>
      <c r="I24" s="5" t="s">
        <v>31</v>
      </c>
      <c r="J24" s="5"/>
    </row>
    <row r="25" customFormat="false" ht="17.15" hidden="false" customHeight="false" outlineLevel="0" collapsed="false">
      <c r="A25" s="3" t="s">
        <v>10</v>
      </c>
      <c r="B25" s="4" t="s">
        <v>61</v>
      </c>
      <c r="C25" s="5" t="s">
        <v>62</v>
      </c>
      <c r="D25" s="4" t="s">
        <v>90</v>
      </c>
      <c r="E25" s="4" t="s">
        <v>91</v>
      </c>
      <c r="F25" s="6" t="n">
        <v>2950</v>
      </c>
      <c r="G25" s="4" t="s">
        <v>92</v>
      </c>
      <c r="H25" s="5" t="s">
        <v>16</v>
      </c>
      <c r="I25" s="5" t="s">
        <v>35</v>
      </c>
      <c r="J25" s="5"/>
    </row>
    <row r="26" customFormat="false" ht="17.15" hidden="false" customHeight="false" outlineLevel="0" collapsed="false">
      <c r="A26" s="3" t="s">
        <v>10</v>
      </c>
      <c r="B26" s="4" t="s">
        <v>61</v>
      </c>
      <c r="C26" s="5" t="s">
        <v>62</v>
      </c>
      <c r="D26" s="4" t="s">
        <v>93</v>
      </c>
      <c r="E26" s="4" t="s">
        <v>94</v>
      </c>
      <c r="F26" s="6" t="n">
        <v>1798</v>
      </c>
      <c r="G26" s="4" t="s">
        <v>95</v>
      </c>
      <c r="H26" s="5" t="s">
        <v>16</v>
      </c>
      <c r="I26" s="5" t="s">
        <v>35</v>
      </c>
      <c r="J26" s="5"/>
    </row>
    <row r="27" customFormat="false" ht="17.15" hidden="false" customHeight="false" outlineLevel="0" collapsed="false">
      <c r="A27" s="3" t="s">
        <v>10</v>
      </c>
      <c r="B27" s="4" t="s">
        <v>61</v>
      </c>
      <c r="C27" s="5" t="s">
        <v>62</v>
      </c>
      <c r="D27" s="4" t="s">
        <v>96</v>
      </c>
      <c r="E27" s="4" t="s">
        <v>97</v>
      </c>
      <c r="F27" s="6" t="n">
        <v>1444</v>
      </c>
      <c r="G27" s="4" t="s">
        <v>98</v>
      </c>
      <c r="H27" s="5" t="s">
        <v>16</v>
      </c>
      <c r="I27" s="5" t="s">
        <v>35</v>
      </c>
      <c r="J27" s="5"/>
    </row>
    <row r="28" customFormat="false" ht="17.15" hidden="false" customHeight="false" outlineLevel="0" collapsed="false">
      <c r="A28" s="3" t="s">
        <v>10</v>
      </c>
      <c r="B28" s="4" t="s">
        <v>61</v>
      </c>
      <c r="C28" s="5" t="s">
        <v>62</v>
      </c>
      <c r="D28" s="4" t="s">
        <v>99</v>
      </c>
      <c r="E28" s="4" t="s">
        <v>100</v>
      </c>
      <c r="F28" s="6" t="n">
        <v>600</v>
      </c>
      <c r="G28" s="4" t="s">
        <v>101</v>
      </c>
      <c r="H28" s="5" t="s">
        <v>16</v>
      </c>
      <c r="I28" s="5" t="s">
        <v>35</v>
      </c>
      <c r="J28" s="5"/>
    </row>
    <row r="29" customFormat="false" ht="17.15" hidden="false" customHeight="false" outlineLevel="0" collapsed="false">
      <c r="A29" s="3" t="s">
        <v>10</v>
      </c>
      <c r="B29" s="4" t="s">
        <v>61</v>
      </c>
      <c r="C29" s="5" t="s">
        <v>62</v>
      </c>
      <c r="D29" s="4" t="s">
        <v>102</v>
      </c>
      <c r="E29" s="4" t="s">
        <v>103</v>
      </c>
      <c r="F29" s="6" t="n">
        <v>530</v>
      </c>
      <c r="G29" s="4" t="s">
        <v>104</v>
      </c>
      <c r="H29" s="5" t="s">
        <v>16</v>
      </c>
      <c r="I29" s="5" t="s">
        <v>35</v>
      </c>
      <c r="J29" s="5"/>
    </row>
    <row r="30" customFormat="false" ht="17.15" hidden="false" customHeight="false" outlineLevel="0" collapsed="false">
      <c r="A30" s="3" t="s">
        <v>10</v>
      </c>
      <c r="B30" s="4" t="s">
        <v>61</v>
      </c>
      <c r="C30" s="5" t="s">
        <v>62</v>
      </c>
      <c r="D30" s="4" t="s">
        <v>105</v>
      </c>
      <c r="E30" s="4" t="s">
        <v>106</v>
      </c>
      <c r="F30" s="6" t="n">
        <v>417</v>
      </c>
      <c r="G30" s="4" t="s">
        <v>107</v>
      </c>
      <c r="H30" s="5" t="s">
        <v>16</v>
      </c>
      <c r="I30" s="5" t="s">
        <v>31</v>
      </c>
      <c r="J30" s="5"/>
    </row>
    <row r="31" customFormat="false" ht="17.15" hidden="false" customHeight="false" outlineLevel="0" collapsed="false">
      <c r="A31" s="3" t="s">
        <v>10</v>
      </c>
      <c r="B31" s="4" t="s">
        <v>61</v>
      </c>
      <c r="C31" s="5" t="s">
        <v>62</v>
      </c>
      <c r="D31" s="4" t="s">
        <v>108</v>
      </c>
      <c r="E31" s="4" t="s">
        <v>109</v>
      </c>
      <c r="F31" s="6" t="n">
        <v>402</v>
      </c>
      <c r="G31" s="4" t="s">
        <v>110</v>
      </c>
      <c r="H31" s="5" t="s">
        <v>16</v>
      </c>
      <c r="I31" s="5" t="s">
        <v>35</v>
      </c>
      <c r="J31" s="5"/>
    </row>
    <row r="32" customFormat="false" ht="17.15" hidden="false" customHeight="false" outlineLevel="0" collapsed="false">
      <c r="A32" s="3" t="s">
        <v>10</v>
      </c>
      <c r="B32" s="4" t="s">
        <v>61</v>
      </c>
      <c r="C32" s="5" t="s">
        <v>62</v>
      </c>
      <c r="D32" s="4" t="s">
        <v>111</v>
      </c>
      <c r="E32" s="4" t="s">
        <v>112</v>
      </c>
      <c r="F32" s="6" t="n">
        <v>52</v>
      </c>
      <c r="G32" s="4" t="s">
        <v>113</v>
      </c>
      <c r="H32" s="5" t="s">
        <v>16</v>
      </c>
      <c r="I32" s="5" t="s">
        <v>35</v>
      </c>
      <c r="J32" s="5"/>
    </row>
    <row r="33" customFormat="false" ht="17.15" hidden="false" customHeight="false" outlineLevel="0" collapsed="false">
      <c r="A33" s="3" t="s">
        <v>10</v>
      </c>
      <c r="B33" s="4" t="s">
        <v>114</v>
      </c>
      <c r="C33" s="5" t="s">
        <v>115</v>
      </c>
      <c r="D33" s="4" t="s">
        <v>116</v>
      </c>
      <c r="E33" s="4" t="s">
        <v>117</v>
      </c>
      <c r="F33" s="6" t="n">
        <v>18200</v>
      </c>
      <c r="G33" s="4" t="s">
        <v>118</v>
      </c>
      <c r="H33" s="5" t="s">
        <v>16</v>
      </c>
      <c r="I33" s="5" t="s">
        <v>48</v>
      </c>
      <c r="J33" s="4" t="s">
        <v>18</v>
      </c>
    </row>
    <row r="34" customFormat="false" ht="17.15" hidden="false" customHeight="false" outlineLevel="0" collapsed="false">
      <c r="A34" s="3" t="s">
        <v>10</v>
      </c>
      <c r="B34" s="4" t="s">
        <v>114</v>
      </c>
      <c r="C34" s="5" t="s">
        <v>115</v>
      </c>
      <c r="D34" s="4" t="s">
        <v>119</v>
      </c>
      <c r="E34" s="4" t="s">
        <v>120</v>
      </c>
      <c r="F34" s="6" t="n">
        <v>6231</v>
      </c>
      <c r="G34" s="4" t="s">
        <v>121</v>
      </c>
      <c r="H34" s="5" t="s">
        <v>16</v>
      </c>
      <c r="I34" s="5" t="s">
        <v>48</v>
      </c>
      <c r="J34" s="5"/>
    </row>
    <row r="35" customFormat="false" ht="17.15" hidden="false" customHeight="false" outlineLevel="0" collapsed="false">
      <c r="A35" s="3" t="s">
        <v>10</v>
      </c>
      <c r="B35" s="4" t="s">
        <v>114</v>
      </c>
      <c r="C35" s="5" t="s">
        <v>115</v>
      </c>
      <c r="D35" s="4" t="s">
        <v>122</v>
      </c>
      <c r="E35" s="4" t="s">
        <v>123</v>
      </c>
      <c r="F35" s="6" t="n">
        <v>5934</v>
      </c>
      <c r="G35" s="4" t="s">
        <v>124</v>
      </c>
      <c r="H35" s="5" t="s">
        <v>16</v>
      </c>
      <c r="I35" s="5" t="s">
        <v>48</v>
      </c>
      <c r="J35" s="5"/>
    </row>
    <row r="36" customFormat="false" ht="17.15" hidden="false" customHeight="false" outlineLevel="0" collapsed="false">
      <c r="A36" s="3" t="s">
        <v>10</v>
      </c>
      <c r="B36" s="4" t="s">
        <v>114</v>
      </c>
      <c r="C36" s="5" t="s">
        <v>115</v>
      </c>
      <c r="D36" s="4" t="s">
        <v>125</v>
      </c>
      <c r="E36" s="4" t="s">
        <v>126</v>
      </c>
      <c r="F36" s="6" t="n">
        <v>3570</v>
      </c>
      <c r="G36" s="4" t="s">
        <v>127</v>
      </c>
      <c r="H36" s="5" t="s">
        <v>16</v>
      </c>
      <c r="I36" s="5" t="s">
        <v>48</v>
      </c>
      <c r="J36" s="5"/>
    </row>
    <row r="37" customFormat="false" ht="17.15" hidden="false" customHeight="false" outlineLevel="0" collapsed="false">
      <c r="A37" s="3" t="s">
        <v>10</v>
      </c>
      <c r="B37" s="4" t="s">
        <v>114</v>
      </c>
      <c r="C37" s="5" t="s">
        <v>115</v>
      </c>
      <c r="D37" s="4" t="s">
        <v>128</v>
      </c>
      <c r="E37" s="4" t="s">
        <v>129</v>
      </c>
      <c r="F37" s="6" t="n">
        <v>3171</v>
      </c>
      <c r="G37" s="4" t="s">
        <v>118</v>
      </c>
      <c r="H37" s="5" t="s">
        <v>16</v>
      </c>
      <c r="I37" s="5" t="s">
        <v>48</v>
      </c>
      <c r="J37" s="5"/>
    </row>
    <row r="38" customFormat="false" ht="17.15" hidden="false" customHeight="false" outlineLevel="0" collapsed="false">
      <c r="A38" s="3" t="s">
        <v>10</v>
      </c>
      <c r="B38" s="4" t="s">
        <v>114</v>
      </c>
      <c r="C38" s="5" t="s">
        <v>115</v>
      </c>
      <c r="D38" s="4" t="s">
        <v>130</v>
      </c>
      <c r="E38" s="4" t="s">
        <v>131</v>
      </c>
      <c r="F38" s="6" t="n">
        <v>2883</v>
      </c>
      <c r="G38" s="4" t="s">
        <v>132</v>
      </c>
      <c r="H38" s="5" t="s">
        <v>16</v>
      </c>
      <c r="I38" s="5" t="s">
        <v>133</v>
      </c>
      <c r="J38" s="5"/>
    </row>
    <row r="39" customFormat="false" ht="17.15" hidden="false" customHeight="false" outlineLevel="0" collapsed="false">
      <c r="A39" s="3" t="s">
        <v>10</v>
      </c>
      <c r="B39" s="4" t="s">
        <v>114</v>
      </c>
      <c r="C39" s="5" t="s">
        <v>115</v>
      </c>
      <c r="D39" s="4" t="s">
        <v>134</v>
      </c>
      <c r="E39" s="4" t="s">
        <v>135</v>
      </c>
      <c r="F39" s="6" t="n">
        <v>2446</v>
      </c>
      <c r="G39" s="4" t="s">
        <v>136</v>
      </c>
      <c r="H39" s="5" t="s">
        <v>16</v>
      </c>
      <c r="I39" s="5" t="s">
        <v>48</v>
      </c>
      <c r="J39" s="5"/>
    </row>
    <row r="40" customFormat="false" ht="17.15" hidden="false" customHeight="false" outlineLevel="0" collapsed="false">
      <c r="A40" s="3" t="s">
        <v>10</v>
      </c>
      <c r="B40" s="4" t="s">
        <v>114</v>
      </c>
      <c r="C40" s="5" t="s">
        <v>115</v>
      </c>
      <c r="D40" s="4" t="s">
        <v>137</v>
      </c>
      <c r="E40" s="4" t="s">
        <v>138</v>
      </c>
      <c r="F40" s="6" t="n">
        <v>1138</v>
      </c>
      <c r="G40" s="4" t="s">
        <v>139</v>
      </c>
      <c r="H40" s="5" t="s">
        <v>16</v>
      </c>
      <c r="I40" s="5" t="s">
        <v>48</v>
      </c>
      <c r="J40" s="5"/>
    </row>
    <row r="41" customFormat="false" ht="17.15" hidden="false" customHeight="false" outlineLevel="0" collapsed="false">
      <c r="A41" s="3" t="s">
        <v>10</v>
      </c>
      <c r="B41" s="4" t="s">
        <v>114</v>
      </c>
      <c r="C41" s="5" t="s">
        <v>115</v>
      </c>
      <c r="D41" s="4" t="s">
        <v>140</v>
      </c>
      <c r="E41" s="4" t="s">
        <v>141</v>
      </c>
      <c r="F41" s="6" t="n">
        <v>860</v>
      </c>
      <c r="G41" s="4" t="s">
        <v>142</v>
      </c>
      <c r="H41" s="5" t="s">
        <v>16</v>
      </c>
      <c r="I41" s="5" t="s">
        <v>48</v>
      </c>
      <c r="J41" s="5"/>
    </row>
    <row r="42" customFormat="false" ht="17.15" hidden="false" customHeight="false" outlineLevel="0" collapsed="false">
      <c r="A42" s="3" t="s">
        <v>10</v>
      </c>
      <c r="B42" s="4" t="s">
        <v>114</v>
      </c>
      <c r="C42" s="5" t="s">
        <v>115</v>
      </c>
      <c r="D42" s="4" t="s">
        <v>143</v>
      </c>
      <c r="E42" s="4" t="s">
        <v>144</v>
      </c>
      <c r="F42" s="6" t="n">
        <v>367</v>
      </c>
      <c r="G42" s="4" t="s">
        <v>145</v>
      </c>
      <c r="H42" s="5" t="s">
        <v>16</v>
      </c>
      <c r="I42" s="5" t="s">
        <v>133</v>
      </c>
      <c r="J42" s="5"/>
    </row>
    <row r="43" customFormat="false" ht="17.15" hidden="false" customHeight="false" outlineLevel="0" collapsed="false">
      <c r="A43" s="3" t="s">
        <v>10</v>
      </c>
      <c r="B43" s="4" t="s">
        <v>114</v>
      </c>
      <c r="C43" s="5" t="s">
        <v>115</v>
      </c>
      <c r="D43" s="4" t="s">
        <v>146</v>
      </c>
      <c r="E43" s="4" t="s">
        <v>147</v>
      </c>
      <c r="F43" s="6" t="n">
        <v>208</v>
      </c>
      <c r="G43" s="4" t="s">
        <v>148</v>
      </c>
      <c r="H43" s="5" t="s">
        <v>16</v>
      </c>
      <c r="I43" s="5" t="s">
        <v>133</v>
      </c>
      <c r="J43" s="5"/>
    </row>
    <row r="44" customFormat="false" ht="17.15" hidden="false" customHeight="false" outlineLevel="0" collapsed="false">
      <c r="A44" s="3" t="s">
        <v>10</v>
      </c>
      <c r="B44" s="4" t="s">
        <v>114</v>
      </c>
      <c r="C44" s="5" t="s">
        <v>115</v>
      </c>
      <c r="D44" s="4" t="s">
        <v>149</v>
      </c>
      <c r="E44" s="4" t="s">
        <v>150</v>
      </c>
      <c r="F44" s="6" t="n">
        <v>131</v>
      </c>
      <c r="G44" s="4" t="s">
        <v>151</v>
      </c>
      <c r="H44" s="5" t="s">
        <v>16</v>
      </c>
      <c r="I44" s="5" t="s">
        <v>133</v>
      </c>
      <c r="J44" s="5"/>
    </row>
    <row r="45" customFormat="false" ht="17.15" hidden="false" customHeight="false" outlineLevel="0" collapsed="false">
      <c r="A45" s="3" t="s">
        <v>10</v>
      </c>
      <c r="B45" s="4" t="s">
        <v>114</v>
      </c>
      <c r="C45" s="5" t="s">
        <v>115</v>
      </c>
      <c r="D45" s="4" t="s">
        <v>152</v>
      </c>
      <c r="E45" s="4" t="s">
        <v>153</v>
      </c>
      <c r="F45" s="6" t="n">
        <v>51</v>
      </c>
      <c r="G45" s="4" t="s">
        <v>154</v>
      </c>
      <c r="H45" s="5" t="s">
        <v>16</v>
      </c>
      <c r="I45" s="5" t="s">
        <v>48</v>
      </c>
      <c r="J45" s="5"/>
    </row>
    <row r="46" customFormat="false" ht="17.15" hidden="false" customHeight="false" outlineLevel="0" collapsed="false">
      <c r="A46" s="3" t="s">
        <v>10</v>
      </c>
      <c r="B46" s="4" t="s">
        <v>155</v>
      </c>
      <c r="C46" s="5" t="s">
        <v>156</v>
      </c>
      <c r="D46" s="4" t="s">
        <v>157</v>
      </c>
      <c r="E46" s="4" t="s">
        <v>158</v>
      </c>
      <c r="F46" s="6" t="n">
        <v>724</v>
      </c>
      <c r="G46" s="5" t="s">
        <v>159</v>
      </c>
      <c r="H46" s="5" t="s">
        <v>160</v>
      </c>
      <c r="I46" s="4" t="s">
        <v>161</v>
      </c>
      <c r="J46" s="4" t="s">
        <v>18</v>
      </c>
    </row>
    <row r="47" customFormat="false" ht="17.15" hidden="false" customHeight="false" outlineLevel="0" collapsed="false">
      <c r="A47" s="3" t="s">
        <v>10</v>
      </c>
      <c r="B47" s="4" t="s">
        <v>155</v>
      </c>
      <c r="C47" s="5" t="s">
        <v>156</v>
      </c>
      <c r="D47" s="4" t="s">
        <v>162</v>
      </c>
      <c r="E47" s="4" t="s">
        <v>163</v>
      </c>
      <c r="F47" s="6" t="n">
        <v>542</v>
      </c>
      <c r="G47" s="5" t="s">
        <v>164</v>
      </c>
      <c r="H47" s="5" t="s">
        <v>160</v>
      </c>
      <c r="I47" s="4" t="s">
        <v>161</v>
      </c>
      <c r="J47" s="5"/>
    </row>
    <row r="48" customFormat="false" ht="17.15" hidden="false" customHeight="false" outlineLevel="0" collapsed="false">
      <c r="A48" s="3" t="s">
        <v>10</v>
      </c>
      <c r="B48" s="4" t="s">
        <v>155</v>
      </c>
      <c r="C48" s="5" t="s">
        <v>156</v>
      </c>
      <c r="D48" s="4" t="s">
        <v>165</v>
      </c>
      <c r="E48" s="4" t="s">
        <v>166</v>
      </c>
      <c r="F48" s="6" t="n">
        <v>219</v>
      </c>
      <c r="G48" s="4" t="s">
        <v>167</v>
      </c>
      <c r="H48" s="5" t="s">
        <v>16</v>
      </c>
      <c r="I48" s="5" t="s">
        <v>48</v>
      </c>
      <c r="J48" s="5"/>
    </row>
    <row r="49" customFormat="false" ht="17.15" hidden="false" customHeight="false" outlineLevel="0" collapsed="false">
      <c r="A49" s="3" t="s">
        <v>10</v>
      </c>
      <c r="B49" s="4" t="s">
        <v>168</v>
      </c>
      <c r="C49" s="5" t="s">
        <v>169</v>
      </c>
      <c r="D49" s="4" t="s">
        <v>170</v>
      </c>
      <c r="E49" s="4" t="s">
        <v>171</v>
      </c>
      <c r="F49" s="6" t="n">
        <v>52303</v>
      </c>
      <c r="G49" s="4" t="s">
        <v>172</v>
      </c>
      <c r="H49" s="5" t="s">
        <v>160</v>
      </c>
      <c r="I49" s="4" t="s">
        <v>161</v>
      </c>
      <c r="J49" s="4" t="s">
        <v>18</v>
      </c>
    </row>
    <row r="50" customFormat="false" ht="17.15" hidden="false" customHeight="false" outlineLevel="0" collapsed="false">
      <c r="A50" s="3" t="s">
        <v>10</v>
      </c>
      <c r="B50" s="4" t="s">
        <v>168</v>
      </c>
      <c r="C50" s="5" t="s">
        <v>169</v>
      </c>
      <c r="D50" s="4" t="s">
        <v>173</v>
      </c>
      <c r="E50" s="4" t="s">
        <v>174</v>
      </c>
      <c r="F50" s="6" t="n">
        <v>14590</v>
      </c>
      <c r="G50" s="4" t="s">
        <v>175</v>
      </c>
      <c r="H50" s="5" t="s">
        <v>160</v>
      </c>
      <c r="I50" s="4" t="s">
        <v>161</v>
      </c>
      <c r="J50" s="5"/>
    </row>
    <row r="51" customFormat="false" ht="17.15" hidden="false" customHeight="false" outlineLevel="0" collapsed="false">
      <c r="A51" s="3" t="s">
        <v>10</v>
      </c>
      <c r="B51" s="4" t="s">
        <v>168</v>
      </c>
      <c r="C51" s="5" t="s">
        <v>169</v>
      </c>
      <c r="D51" s="4" t="s">
        <v>176</v>
      </c>
      <c r="E51" s="4" t="s">
        <v>177</v>
      </c>
      <c r="F51" s="6" t="n">
        <v>4821</v>
      </c>
      <c r="G51" s="4" t="s">
        <v>178</v>
      </c>
      <c r="H51" s="5" t="s">
        <v>160</v>
      </c>
      <c r="I51" s="4" t="s">
        <v>161</v>
      </c>
      <c r="J51" s="5"/>
    </row>
    <row r="52" customFormat="false" ht="17.15" hidden="false" customHeight="false" outlineLevel="0" collapsed="false">
      <c r="A52" s="3" t="s">
        <v>10</v>
      </c>
      <c r="B52" s="4" t="s">
        <v>168</v>
      </c>
      <c r="C52" s="5" t="s">
        <v>169</v>
      </c>
      <c r="D52" s="4" t="s">
        <v>179</v>
      </c>
      <c r="E52" s="4" t="s">
        <v>180</v>
      </c>
      <c r="F52" s="6" t="n">
        <v>187</v>
      </c>
      <c r="G52" s="4" t="s">
        <v>181</v>
      </c>
      <c r="H52" s="5" t="s">
        <v>16</v>
      </c>
      <c r="I52" s="5" t="s">
        <v>17</v>
      </c>
      <c r="J52" s="5"/>
    </row>
    <row r="53" customFormat="false" ht="17.15" hidden="false" customHeight="false" outlineLevel="0" collapsed="false">
      <c r="A53" s="3" t="s">
        <v>10</v>
      </c>
      <c r="B53" s="4" t="s">
        <v>168</v>
      </c>
      <c r="C53" s="5" t="s">
        <v>169</v>
      </c>
      <c r="D53" s="4" t="s">
        <v>182</v>
      </c>
      <c r="E53" s="4" t="s">
        <v>183</v>
      </c>
      <c r="F53" s="6" t="n">
        <v>113</v>
      </c>
      <c r="G53" s="4" t="s">
        <v>184</v>
      </c>
      <c r="H53" s="5" t="s">
        <v>16</v>
      </c>
      <c r="I53" s="5" t="s">
        <v>17</v>
      </c>
      <c r="J53" s="5"/>
    </row>
    <row r="54" customFormat="false" ht="17.15" hidden="false" customHeight="false" outlineLevel="0" collapsed="false">
      <c r="A54" s="7" t="s">
        <v>185</v>
      </c>
      <c r="B54" s="4" t="s">
        <v>186</v>
      </c>
      <c r="C54" s="5" t="s">
        <v>187</v>
      </c>
      <c r="D54" s="4" t="s">
        <v>188</v>
      </c>
      <c r="E54" s="4" t="s">
        <v>189</v>
      </c>
      <c r="F54" s="6" t="n">
        <v>164803</v>
      </c>
      <c r="G54" s="5" t="s">
        <v>190</v>
      </c>
      <c r="H54" s="5" t="s">
        <v>160</v>
      </c>
      <c r="I54" s="5" t="s">
        <v>191</v>
      </c>
      <c r="J54" s="4" t="s">
        <v>18</v>
      </c>
    </row>
    <row r="55" customFormat="false" ht="17.15" hidden="false" customHeight="false" outlineLevel="0" collapsed="false">
      <c r="A55" s="7" t="s">
        <v>185</v>
      </c>
      <c r="B55" s="4" t="s">
        <v>186</v>
      </c>
      <c r="C55" s="5" t="s">
        <v>187</v>
      </c>
      <c r="D55" s="4" t="s">
        <v>192</v>
      </c>
      <c r="E55" s="4" t="s">
        <v>193</v>
      </c>
      <c r="F55" s="6" t="n">
        <v>71839</v>
      </c>
      <c r="G55" s="5" t="s">
        <v>194</v>
      </c>
      <c r="H55" s="5" t="s">
        <v>160</v>
      </c>
      <c r="I55" s="5" t="s">
        <v>191</v>
      </c>
      <c r="J55" s="5"/>
    </row>
    <row r="56" customFormat="false" ht="17.15" hidden="false" customHeight="false" outlineLevel="0" collapsed="false">
      <c r="A56" s="7" t="s">
        <v>185</v>
      </c>
      <c r="B56" s="4" t="s">
        <v>186</v>
      </c>
      <c r="C56" s="5" t="s">
        <v>187</v>
      </c>
      <c r="D56" s="4" t="s">
        <v>195</v>
      </c>
      <c r="E56" s="4" t="s">
        <v>196</v>
      </c>
      <c r="F56" s="6" t="n">
        <v>67897</v>
      </c>
      <c r="G56" s="5" t="s">
        <v>190</v>
      </c>
      <c r="H56" s="5" t="s">
        <v>160</v>
      </c>
      <c r="I56" s="5" t="s">
        <v>191</v>
      </c>
      <c r="J56" s="5"/>
    </row>
    <row r="57" customFormat="false" ht="17.15" hidden="false" customHeight="false" outlineLevel="0" collapsed="false">
      <c r="A57" s="7" t="s">
        <v>185</v>
      </c>
      <c r="B57" s="4" t="s">
        <v>186</v>
      </c>
      <c r="C57" s="5" t="s">
        <v>187</v>
      </c>
      <c r="D57" s="4" t="s">
        <v>197</v>
      </c>
      <c r="E57" s="4" t="s">
        <v>198</v>
      </c>
      <c r="F57" s="6" t="n">
        <v>52559</v>
      </c>
      <c r="G57" s="5" t="s">
        <v>199</v>
      </c>
      <c r="H57" s="5" t="s">
        <v>160</v>
      </c>
      <c r="I57" s="5" t="s">
        <v>191</v>
      </c>
      <c r="J57" s="5"/>
    </row>
    <row r="58" customFormat="false" ht="17.15" hidden="false" customHeight="false" outlineLevel="0" collapsed="false">
      <c r="A58" s="7" t="s">
        <v>185</v>
      </c>
      <c r="B58" s="4" t="s">
        <v>186</v>
      </c>
      <c r="C58" s="5" t="s">
        <v>187</v>
      </c>
      <c r="D58" s="4" t="s">
        <v>200</v>
      </c>
      <c r="E58" s="4" t="s">
        <v>201</v>
      </c>
      <c r="F58" s="6" t="n">
        <v>39380</v>
      </c>
      <c r="G58" s="4" t="s">
        <v>202</v>
      </c>
      <c r="H58" s="5" t="s">
        <v>160</v>
      </c>
      <c r="I58" s="5" t="s">
        <v>191</v>
      </c>
      <c r="J58" s="5"/>
    </row>
    <row r="59" customFormat="false" ht="17.15" hidden="false" customHeight="false" outlineLevel="0" collapsed="false">
      <c r="A59" s="7" t="s">
        <v>185</v>
      </c>
      <c r="B59" s="4" t="s">
        <v>186</v>
      </c>
      <c r="C59" s="5" t="s">
        <v>187</v>
      </c>
      <c r="D59" s="4" t="s">
        <v>203</v>
      </c>
      <c r="E59" s="4" t="s">
        <v>204</v>
      </c>
      <c r="F59" s="6" t="n">
        <v>29007</v>
      </c>
      <c r="G59" s="5" t="s">
        <v>190</v>
      </c>
      <c r="H59" s="5" t="s">
        <v>160</v>
      </c>
      <c r="I59" s="5" t="s">
        <v>191</v>
      </c>
      <c r="J59" s="5"/>
    </row>
    <row r="60" customFormat="false" ht="17.15" hidden="false" customHeight="false" outlineLevel="0" collapsed="false">
      <c r="A60" s="7" t="s">
        <v>185</v>
      </c>
      <c r="B60" s="4" t="s">
        <v>186</v>
      </c>
      <c r="C60" s="5" t="s">
        <v>187</v>
      </c>
      <c r="D60" s="4" t="s">
        <v>205</v>
      </c>
      <c r="E60" s="4" t="s">
        <v>206</v>
      </c>
      <c r="F60" s="6" t="n">
        <v>23508</v>
      </c>
      <c r="G60" s="4" t="s">
        <v>207</v>
      </c>
      <c r="H60" s="5" t="s">
        <v>160</v>
      </c>
      <c r="I60" s="5" t="s">
        <v>208</v>
      </c>
      <c r="J60" s="5"/>
    </row>
    <row r="61" customFormat="false" ht="17.15" hidden="false" customHeight="false" outlineLevel="0" collapsed="false">
      <c r="A61" s="7" t="s">
        <v>185</v>
      </c>
      <c r="B61" s="4" t="s">
        <v>186</v>
      </c>
      <c r="C61" s="5" t="s">
        <v>187</v>
      </c>
      <c r="D61" s="4" t="s">
        <v>209</v>
      </c>
      <c r="E61" s="4" t="s">
        <v>210</v>
      </c>
      <c r="F61" s="6" t="n">
        <v>22098</v>
      </c>
      <c r="G61" s="5" t="s">
        <v>194</v>
      </c>
      <c r="H61" s="5" t="s">
        <v>160</v>
      </c>
      <c r="I61" s="5" t="s">
        <v>191</v>
      </c>
      <c r="J61" s="5"/>
    </row>
    <row r="62" customFormat="false" ht="17.15" hidden="false" customHeight="false" outlineLevel="0" collapsed="false">
      <c r="A62" s="7" t="s">
        <v>185</v>
      </c>
      <c r="B62" s="4" t="s">
        <v>186</v>
      </c>
      <c r="C62" s="5" t="s">
        <v>187</v>
      </c>
      <c r="D62" s="4" t="s">
        <v>211</v>
      </c>
      <c r="E62" s="4" t="s">
        <v>212</v>
      </c>
      <c r="F62" s="6" t="n">
        <v>21216</v>
      </c>
      <c r="G62" s="4" t="s">
        <v>202</v>
      </c>
      <c r="H62" s="5" t="s">
        <v>160</v>
      </c>
      <c r="I62" s="5" t="s">
        <v>191</v>
      </c>
      <c r="J62" s="5"/>
    </row>
    <row r="63" customFormat="false" ht="17.15" hidden="false" customHeight="false" outlineLevel="0" collapsed="false">
      <c r="A63" s="7" t="s">
        <v>185</v>
      </c>
      <c r="B63" s="4" t="s">
        <v>186</v>
      </c>
      <c r="C63" s="5" t="s">
        <v>187</v>
      </c>
      <c r="D63" s="4" t="s">
        <v>213</v>
      </c>
      <c r="E63" s="4" t="s">
        <v>214</v>
      </c>
      <c r="F63" s="6" t="n">
        <v>18733</v>
      </c>
      <c r="G63" s="4" t="s">
        <v>215</v>
      </c>
      <c r="H63" s="5" t="s">
        <v>160</v>
      </c>
      <c r="I63" s="5" t="s">
        <v>208</v>
      </c>
      <c r="J63" s="5"/>
    </row>
    <row r="64" customFormat="false" ht="17.15" hidden="false" customHeight="false" outlineLevel="0" collapsed="false">
      <c r="A64" s="7" t="s">
        <v>185</v>
      </c>
      <c r="B64" s="4" t="s">
        <v>186</v>
      </c>
      <c r="C64" s="5" t="s">
        <v>187</v>
      </c>
      <c r="D64" s="4" t="s">
        <v>216</v>
      </c>
      <c r="E64" s="4" t="s">
        <v>217</v>
      </c>
      <c r="F64" s="6" t="n">
        <v>17803</v>
      </c>
      <c r="G64" s="4" t="s">
        <v>218</v>
      </c>
      <c r="H64" s="5" t="s">
        <v>160</v>
      </c>
      <c r="I64" s="5" t="s">
        <v>208</v>
      </c>
      <c r="J64" s="5"/>
    </row>
    <row r="65" customFormat="false" ht="17.15" hidden="false" customHeight="false" outlineLevel="0" collapsed="false">
      <c r="A65" s="7" t="s">
        <v>185</v>
      </c>
      <c r="B65" s="4" t="s">
        <v>186</v>
      </c>
      <c r="C65" s="5" t="s">
        <v>187</v>
      </c>
      <c r="D65" s="4" t="s">
        <v>219</v>
      </c>
      <c r="E65" s="4" t="s">
        <v>220</v>
      </c>
      <c r="F65" s="6" t="n">
        <v>15375</v>
      </c>
      <c r="G65" s="5" t="s">
        <v>199</v>
      </c>
      <c r="H65" s="5" t="s">
        <v>160</v>
      </c>
      <c r="I65" s="5" t="s">
        <v>191</v>
      </c>
      <c r="J65" s="5"/>
    </row>
    <row r="66" customFormat="false" ht="17.15" hidden="false" customHeight="false" outlineLevel="0" collapsed="false">
      <c r="A66" s="7" t="s">
        <v>185</v>
      </c>
      <c r="B66" s="4" t="s">
        <v>186</v>
      </c>
      <c r="C66" s="5" t="s">
        <v>187</v>
      </c>
      <c r="D66" s="4" t="s">
        <v>221</v>
      </c>
      <c r="E66" s="4" t="s">
        <v>222</v>
      </c>
      <c r="F66" s="6" t="n">
        <v>13675</v>
      </c>
      <c r="G66" s="4" t="s">
        <v>223</v>
      </c>
      <c r="H66" s="5" t="s">
        <v>160</v>
      </c>
      <c r="I66" s="5" t="s">
        <v>208</v>
      </c>
      <c r="J66" s="5"/>
    </row>
    <row r="67" customFormat="false" ht="17.15" hidden="false" customHeight="false" outlineLevel="0" collapsed="false">
      <c r="A67" s="7" t="s">
        <v>185</v>
      </c>
      <c r="B67" s="4" t="s">
        <v>186</v>
      </c>
      <c r="C67" s="5" t="s">
        <v>187</v>
      </c>
      <c r="D67" s="4" t="s">
        <v>224</v>
      </c>
      <c r="E67" s="4" t="s">
        <v>225</v>
      </c>
      <c r="F67" s="6" t="n">
        <v>13051</v>
      </c>
      <c r="G67" s="5" t="s">
        <v>190</v>
      </c>
      <c r="H67" s="5" t="s">
        <v>160</v>
      </c>
      <c r="I67" s="5" t="s">
        <v>191</v>
      </c>
      <c r="J67" s="5"/>
    </row>
    <row r="68" customFormat="false" ht="17.15" hidden="false" customHeight="false" outlineLevel="0" collapsed="false">
      <c r="A68" s="7" t="s">
        <v>185</v>
      </c>
      <c r="B68" s="4" t="s">
        <v>186</v>
      </c>
      <c r="C68" s="5" t="s">
        <v>187</v>
      </c>
      <c r="D68" s="4" t="s">
        <v>226</v>
      </c>
      <c r="E68" s="4" t="s">
        <v>227</v>
      </c>
      <c r="F68" s="6" t="n">
        <v>9938</v>
      </c>
      <c r="G68" s="4" t="s">
        <v>228</v>
      </c>
      <c r="H68" s="5" t="s">
        <v>160</v>
      </c>
      <c r="I68" s="5" t="s">
        <v>208</v>
      </c>
      <c r="J68" s="5"/>
    </row>
    <row r="69" customFormat="false" ht="17.15" hidden="false" customHeight="false" outlineLevel="0" collapsed="false">
      <c r="A69" s="7" t="s">
        <v>185</v>
      </c>
      <c r="B69" s="4" t="s">
        <v>186</v>
      </c>
      <c r="C69" s="5" t="s">
        <v>187</v>
      </c>
      <c r="D69" s="4" t="s">
        <v>229</v>
      </c>
      <c r="E69" s="4" t="s">
        <v>230</v>
      </c>
      <c r="F69" s="6" t="n">
        <v>8830</v>
      </c>
      <c r="G69" s="4" t="s">
        <v>231</v>
      </c>
      <c r="H69" s="5" t="s">
        <v>160</v>
      </c>
      <c r="I69" s="5" t="s">
        <v>208</v>
      </c>
      <c r="J69" s="5"/>
    </row>
    <row r="70" customFormat="false" ht="17.15" hidden="false" customHeight="false" outlineLevel="0" collapsed="false">
      <c r="A70" s="7" t="s">
        <v>185</v>
      </c>
      <c r="B70" s="4" t="s">
        <v>186</v>
      </c>
      <c r="C70" s="5" t="s">
        <v>187</v>
      </c>
      <c r="D70" s="4" t="s">
        <v>232</v>
      </c>
      <c r="E70" s="4" t="s">
        <v>233</v>
      </c>
      <c r="F70" s="6" t="n">
        <v>7939</v>
      </c>
      <c r="G70" s="5" t="s">
        <v>234</v>
      </c>
      <c r="H70" s="5" t="s">
        <v>160</v>
      </c>
      <c r="I70" s="5" t="s">
        <v>191</v>
      </c>
      <c r="J70" s="5"/>
    </row>
    <row r="71" customFormat="false" ht="17.15" hidden="false" customHeight="false" outlineLevel="0" collapsed="false">
      <c r="A71" s="7" t="s">
        <v>185</v>
      </c>
      <c r="B71" s="4" t="s">
        <v>186</v>
      </c>
      <c r="C71" s="5" t="s">
        <v>187</v>
      </c>
      <c r="D71" s="4" t="s">
        <v>235</v>
      </c>
      <c r="E71" s="4" t="s">
        <v>236</v>
      </c>
      <c r="F71" s="6" t="n">
        <v>7364</v>
      </c>
      <c r="G71" s="4" t="s">
        <v>237</v>
      </c>
      <c r="H71" s="5" t="s">
        <v>160</v>
      </c>
      <c r="I71" s="5" t="s">
        <v>208</v>
      </c>
      <c r="J71" s="5"/>
    </row>
    <row r="72" customFormat="false" ht="17.15" hidden="false" customHeight="false" outlineLevel="0" collapsed="false">
      <c r="A72" s="7" t="s">
        <v>185</v>
      </c>
      <c r="B72" s="4" t="s">
        <v>186</v>
      </c>
      <c r="C72" s="5" t="s">
        <v>187</v>
      </c>
      <c r="D72" s="4" t="s">
        <v>238</v>
      </c>
      <c r="E72" s="4" t="s">
        <v>239</v>
      </c>
      <c r="F72" s="6" t="n">
        <v>5224</v>
      </c>
      <c r="G72" s="4" t="s">
        <v>240</v>
      </c>
      <c r="H72" s="5" t="s">
        <v>160</v>
      </c>
      <c r="I72" s="5" t="s">
        <v>208</v>
      </c>
      <c r="J72" s="5"/>
    </row>
    <row r="73" customFormat="false" ht="17.15" hidden="false" customHeight="false" outlineLevel="0" collapsed="false">
      <c r="A73" s="7" t="s">
        <v>185</v>
      </c>
      <c r="B73" s="4" t="s">
        <v>186</v>
      </c>
      <c r="C73" s="5" t="s">
        <v>187</v>
      </c>
      <c r="D73" s="4" t="s">
        <v>241</v>
      </c>
      <c r="E73" s="4" t="s">
        <v>242</v>
      </c>
      <c r="F73" s="6" t="n">
        <v>4569</v>
      </c>
      <c r="G73" s="4" t="s">
        <v>243</v>
      </c>
      <c r="H73" s="5" t="s">
        <v>160</v>
      </c>
      <c r="I73" s="5" t="s">
        <v>208</v>
      </c>
      <c r="J73" s="5"/>
    </row>
    <row r="74" customFormat="false" ht="17.15" hidden="false" customHeight="false" outlineLevel="0" collapsed="false">
      <c r="A74" s="7" t="s">
        <v>185</v>
      </c>
      <c r="B74" s="4" t="s">
        <v>186</v>
      </c>
      <c r="C74" s="5" t="s">
        <v>187</v>
      </c>
      <c r="D74" s="4" t="s">
        <v>244</v>
      </c>
      <c r="E74" s="4" t="s">
        <v>245</v>
      </c>
      <c r="F74" s="6" t="n">
        <v>3928</v>
      </c>
      <c r="G74" s="5" t="s">
        <v>246</v>
      </c>
      <c r="H74" s="5" t="s">
        <v>160</v>
      </c>
      <c r="I74" s="5" t="s">
        <v>208</v>
      </c>
      <c r="J74" s="5"/>
    </row>
    <row r="75" customFormat="false" ht="17.15" hidden="false" customHeight="false" outlineLevel="0" collapsed="false">
      <c r="A75" s="7" t="s">
        <v>185</v>
      </c>
      <c r="B75" s="4" t="s">
        <v>186</v>
      </c>
      <c r="C75" s="5" t="s">
        <v>187</v>
      </c>
      <c r="D75" s="4" t="s">
        <v>247</v>
      </c>
      <c r="E75" s="4" t="s">
        <v>248</v>
      </c>
      <c r="F75" s="6" t="n">
        <v>3842</v>
      </c>
      <c r="G75" s="5" t="s">
        <v>199</v>
      </c>
      <c r="H75" s="5" t="s">
        <v>160</v>
      </c>
      <c r="I75" s="5" t="s">
        <v>191</v>
      </c>
      <c r="J75" s="5"/>
    </row>
    <row r="76" customFormat="false" ht="17.15" hidden="false" customHeight="false" outlineLevel="0" collapsed="false">
      <c r="A76" s="7" t="s">
        <v>185</v>
      </c>
      <c r="B76" s="4" t="s">
        <v>186</v>
      </c>
      <c r="C76" s="5" t="s">
        <v>187</v>
      </c>
      <c r="D76" s="4" t="s">
        <v>249</v>
      </c>
      <c r="E76" s="4" t="s">
        <v>250</v>
      </c>
      <c r="F76" s="6" t="n">
        <v>3810</v>
      </c>
      <c r="G76" s="5" t="s">
        <v>234</v>
      </c>
      <c r="H76" s="5" t="s">
        <v>160</v>
      </c>
      <c r="I76" s="5" t="s">
        <v>191</v>
      </c>
      <c r="J76" s="5"/>
    </row>
    <row r="77" customFormat="false" ht="17.15" hidden="false" customHeight="false" outlineLevel="0" collapsed="false">
      <c r="A77" s="7" t="s">
        <v>185</v>
      </c>
      <c r="B77" s="4" t="s">
        <v>186</v>
      </c>
      <c r="C77" s="5" t="s">
        <v>187</v>
      </c>
      <c r="D77" s="4" t="s">
        <v>251</v>
      </c>
      <c r="E77" s="4" t="s">
        <v>252</v>
      </c>
      <c r="F77" s="6" t="n">
        <v>3540</v>
      </c>
      <c r="G77" s="5" t="s">
        <v>199</v>
      </c>
      <c r="H77" s="5" t="s">
        <v>160</v>
      </c>
      <c r="I77" s="5" t="s">
        <v>191</v>
      </c>
      <c r="J77" s="5"/>
    </row>
    <row r="78" customFormat="false" ht="17.15" hidden="false" customHeight="false" outlineLevel="0" collapsed="false">
      <c r="A78" s="7" t="s">
        <v>185</v>
      </c>
      <c r="B78" s="4" t="s">
        <v>186</v>
      </c>
      <c r="C78" s="5" t="s">
        <v>187</v>
      </c>
      <c r="D78" s="4" t="s">
        <v>253</v>
      </c>
      <c r="E78" s="4" t="s">
        <v>254</v>
      </c>
      <c r="F78" s="6" t="n">
        <v>3310</v>
      </c>
      <c r="G78" s="5" t="s">
        <v>234</v>
      </c>
      <c r="H78" s="5" t="s">
        <v>160</v>
      </c>
      <c r="I78" s="5" t="s">
        <v>191</v>
      </c>
      <c r="J78" s="5"/>
    </row>
    <row r="79" customFormat="false" ht="17.15" hidden="false" customHeight="false" outlineLevel="0" collapsed="false">
      <c r="A79" s="7" t="s">
        <v>185</v>
      </c>
      <c r="B79" s="4" t="s">
        <v>186</v>
      </c>
      <c r="C79" s="5" t="s">
        <v>187</v>
      </c>
      <c r="D79" s="4" t="s">
        <v>255</v>
      </c>
      <c r="E79" s="4" t="s">
        <v>256</v>
      </c>
      <c r="F79" s="6" t="n">
        <v>1495</v>
      </c>
      <c r="G79" s="4" t="s">
        <v>257</v>
      </c>
      <c r="H79" s="5" t="s">
        <v>160</v>
      </c>
      <c r="I79" s="5" t="s">
        <v>208</v>
      </c>
      <c r="J79" s="5"/>
    </row>
    <row r="80" customFormat="false" ht="17.15" hidden="false" customHeight="false" outlineLevel="0" collapsed="false">
      <c r="A80" s="7" t="s">
        <v>185</v>
      </c>
      <c r="B80" s="4" t="s">
        <v>186</v>
      </c>
      <c r="C80" s="5" t="s">
        <v>187</v>
      </c>
      <c r="D80" s="4" t="s">
        <v>258</v>
      </c>
      <c r="E80" s="4" t="s">
        <v>259</v>
      </c>
      <c r="F80" s="6" t="n">
        <v>1070</v>
      </c>
      <c r="G80" s="5" t="s">
        <v>260</v>
      </c>
      <c r="H80" s="5" t="s">
        <v>160</v>
      </c>
      <c r="I80" s="5" t="s">
        <v>191</v>
      </c>
      <c r="J80" s="5"/>
    </row>
    <row r="81" customFormat="false" ht="17.15" hidden="false" customHeight="false" outlineLevel="0" collapsed="false">
      <c r="A81" s="7" t="s">
        <v>185</v>
      </c>
      <c r="B81" s="4" t="s">
        <v>186</v>
      </c>
      <c r="C81" s="5" t="s">
        <v>187</v>
      </c>
      <c r="D81" s="4" t="s">
        <v>261</v>
      </c>
      <c r="E81" s="4" t="s">
        <v>262</v>
      </c>
      <c r="F81" s="6" t="n">
        <v>491</v>
      </c>
      <c r="G81" s="5" t="s">
        <v>263</v>
      </c>
      <c r="H81" s="5" t="s">
        <v>160</v>
      </c>
      <c r="I81" s="5" t="s">
        <v>208</v>
      </c>
      <c r="J81" s="5"/>
    </row>
    <row r="82" customFormat="false" ht="17.15" hidden="false" customHeight="false" outlineLevel="0" collapsed="false">
      <c r="A82" s="7" t="s">
        <v>185</v>
      </c>
      <c r="B82" s="4" t="s">
        <v>186</v>
      </c>
      <c r="C82" s="5" t="s">
        <v>187</v>
      </c>
      <c r="D82" s="4" t="s">
        <v>264</v>
      </c>
      <c r="E82" s="4" t="s">
        <v>265</v>
      </c>
      <c r="F82" s="6" t="n">
        <v>430</v>
      </c>
      <c r="G82" s="5" t="s">
        <v>266</v>
      </c>
      <c r="H82" s="5" t="s">
        <v>160</v>
      </c>
      <c r="I82" s="5" t="s">
        <v>208</v>
      </c>
      <c r="J82" s="5"/>
    </row>
    <row r="83" customFormat="false" ht="17.15" hidden="false" customHeight="false" outlineLevel="0" collapsed="false">
      <c r="A83" s="7" t="s">
        <v>185</v>
      </c>
      <c r="B83" s="4" t="s">
        <v>186</v>
      </c>
      <c r="C83" s="5" t="s">
        <v>187</v>
      </c>
      <c r="D83" s="4" t="s">
        <v>267</v>
      </c>
      <c r="E83" s="4" t="s">
        <v>268</v>
      </c>
      <c r="F83" s="6" t="n">
        <v>294</v>
      </c>
      <c r="G83" s="4" t="s">
        <v>269</v>
      </c>
      <c r="H83" s="5" t="s">
        <v>160</v>
      </c>
      <c r="I83" s="5" t="s">
        <v>191</v>
      </c>
      <c r="J83" s="5"/>
    </row>
    <row r="84" customFormat="false" ht="17.15" hidden="false" customHeight="false" outlineLevel="0" collapsed="false">
      <c r="A84" s="7" t="s">
        <v>185</v>
      </c>
      <c r="B84" s="4" t="s">
        <v>186</v>
      </c>
      <c r="C84" s="5" t="s">
        <v>187</v>
      </c>
      <c r="D84" s="4" t="s">
        <v>270</v>
      </c>
      <c r="E84" s="4" t="s">
        <v>271</v>
      </c>
      <c r="F84" s="6" t="n">
        <v>294</v>
      </c>
      <c r="G84" s="4" t="s">
        <v>272</v>
      </c>
      <c r="H84" s="5" t="s">
        <v>160</v>
      </c>
      <c r="I84" s="5" t="s">
        <v>208</v>
      </c>
      <c r="J84" s="5"/>
    </row>
    <row r="85" customFormat="false" ht="17.15" hidden="false" customHeight="false" outlineLevel="0" collapsed="false">
      <c r="A85" s="7" t="s">
        <v>185</v>
      </c>
      <c r="B85" s="4" t="s">
        <v>186</v>
      </c>
      <c r="C85" s="5" t="s">
        <v>187</v>
      </c>
      <c r="D85" s="4" t="s">
        <v>273</v>
      </c>
      <c r="E85" s="4" t="s">
        <v>274</v>
      </c>
      <c r="F85" s="6" t="n">
        <v>91</v>
      </c>
      <c r="G85" s="5" t="s">
        <v>275</v>
      </c>
      <c r="H85" s="5" t="s">
        <v>160</v>
      </c>
      <c r="I85" s="5" t="s">
        <v>208</v>
      </c>
      <c r="J85" s="5"/>
    </row>
    <row r="86" customFormat="false" ht="17.15" hidden="false" customHeight="false" outlineLevel="0" collapsed="false">
      <c r="A86" s="7" t="s">
        <v>185</v>
      </c>
      <c r="B86" s="4" t="s">
        <v>186</v>
      </c>
      <c r="C86" s="5" t="s">
        <v>187</v>
      </c>
      <c r="D86" s="4" t="s">
        <v>276</v>
      </c>
      <c r="E86" s="4" t="s">
        <v>277</v>
      </c>
      <c r="F86" s="6" t="n">
        <v>83</v>
      </c>
      <c r="G86" s="5" t="s">
        <v>278</v>
      </c>
      <c r="H86" s="5" t="s">
        <v>160</v>
      </c>
      <c r="I86" s="5" t="s">
        <v>208</v>
      </c>
      <c r="J86" s="5"/>
    </row>
    <row r="87" customFormat="false" ht="17.15" hidden="false" customHeight="false" outlineLevel="0" collapsed="false">
      <c r="A87" s="7" t="s">
        <v>185</v>
      </c>
      <c r="B87" s="4" t="s">
        <v>186</v>
      </c>
      <c r="C87" s="5" t="s">
        <v>187</v>
      </c>
      <c r="D87" s="4" t="s">
        <v>279</v>
      </c>
      <c r="E87" s="4" t="s">
        <v>280</v>
      </c>
      <c r="F87" s="6" t="n">
        <v>72</v>
      </c>
      <c r="G87" s="5" t="s">
        <v>281</v>
      </c>
      <c r="H87" s="5" t="s">
        <v>160</v>
      </c>
      <c r="I87" s="5" t="s">
        <v>208</v>
      </c>
      <c r="J87" s="5"/>
    </row>
    <row r="88" customFormat="false" ht="17.15" hidden="false" customHeight="false" outlineLevel="0" collapsed="false">
      <c r="A88" s="7" t="s">
        <v>185</v>
      </c>
      <c r="B88" s="4" t="s">
        <v>282</v>
      </c>
      <c r="C88" s="5" t="s">
        <v>283</v>
      </c>
      <c r="D88" s="4" t="s">
        <v>284</v>
      </c>
      <c r="E88" s="4" t="s">
        <v>285</v>
      </c>
      <c r="F88" s="6" t="n">
        <v>147821</v>
      </c>
      <c r="G88" s="4" t="s">
        <v>286</v>
      </c>
      <c r="H88" s="5" t="s">
        <v>160</v>
      </c>
      <c r="I88" s="5" t="s">
        <v>287</v>
      </c>
      <c r="J88" s="4" t="s">
        <v>18</v>
      </c>
    </row>
    <row r="89" customFormat="false" ht="17.15" hidden="false" customHeight="false" outlineLevel="0" collapsed="false">
      <c r="A89" s="7" t="s">
        <v>185</v>
      </c>
      <c r="B89" s="4" t="s">
        <v>282</v>
      </c>
      <c r="C89" s="5" t="s">
        <v>283</v>
      </c>
      <c r="D89" s="4" t="s">
        <v>288</v>
      </c>
      <c r="E89" s="4" t="s">
        <v>289</v>
      </c>
      <c r="F89" s="6" t="n">
        <v>81089</v>
      </c>
      <c r="G89" s="4" t="s">
        <v>286</v>
      </c>
      <c r="H89" s="5" t="s">
        <v>160</v>
      </c>
      <c r="I89" s="5" t="s">
        <v>287</v>
      </c>
      <c r="J89" s="5"/>
    </row>
    <row r="90" customFormat="false" ht="17.15" hidden="false" customHeight="false" outlineLevel="0" collapsed="false">
      <c r="A90" s="7" t="s">
        <v>185</v>
      </c>
      <c r="B90" s="4" t="s">
        <v>282</v>
      </c>
      <c r="C90" s="5" t="s">
        <v>283</v>
      </c>
      <c r="D90" s="4" t="s">
        <v>290</v>
      </c>
      <c r="E90" s="4" t="s">
        <v>291</v>
      </c>
      <c r="F90" s="6" t="n">
        <v>79730</v>
      </c>
      <c r="G90" s="4" t="s">
        <v>292</v>
      </c>
      <c r="H90" s="5" t="s">
        <v>160</v>
      </c>
      <c r="I90" s="5" t="s">
        <v>287</v>
      </c>
      <c r="J90" s="5"/>
    </row>
    <row r="91" customFormat="false" ht="17.15" hidden="false" customHeight="false" outlineLevel="0" collapsed="false">
      <c r="A91" s="7" t="s">
        <v>185</v>
      </c>
      <c r="B91" s="4" t="s">
        <v>282</v>
      </c>
      <c r="C91" s="5" t="s">
        <v>283</v>
      </c>
      <c r="D91" s="4" t="s">
        <v>293</v>
      </c>
      <c r="E91" s="4" t="s">
        <v>294</v>
      </c>
      <c r="F91" s="6" t="n">
        <v>55319</v>
      </c>
      <c r="G91" s="4" t="s">
        <v>292</v>
      </c>
      <c r="H91" s="5" t="s">
        <v>160</v>
      </c>
      <c r="I91" s="5" t="s">
        <v>287</v>
      </c>
      <c r="J91" s="5"/>
    </row>
    <row r="92" customFormat="false" ht="17.15" hidden="false" customHeight="false" outlineLevel="0" collapsed="false">
      <c r="A92" s="7" t="s">
        <v>185</v>
      </c>
      <c r="B92" s="4" t="s">
        <v>282</v>
      </c>
      <c r="C92" s="5" t="s">
        <v>283</v>
      </c>
      <c r="D92" s="4" t="s">
        <v>295</v>
      </c>
      <c r="E92" s="4" t="s">
        <v>296</v>
      </c>
      <c r="F92" s="6" t="n">
        <v>33475</v>
      </c>
      <c r="G92" s="4" t="s">
        <v>286</v>
      </c>
      <c r="H92" s="5" t="s">
        <v>160</v>
      </c>
      <c r="I92" s="5" t="s">
        <v>287</v>
      </c>
      <c r="J92" s="5"/>
    </row>
    <row r="93" customFormat="false" ht="17.15" hidden="false" customHeight="false" outlineLevel="0" collapsed="false">
      <c r="A93" s="7" t="s">
        <v>185</v>
      </c>
      <c r="B93" s="4" t="s">
        <v>282</v>
      </c>
      <c r="C93" s="5" t="s">
        <v>283</v>
      </c>
      <c r="D93" s="4" t="s">
        <v>297</v>
      </c>
      <c r="E93" s="4" t="s">
        <v>298</v>
      </c>
      <c r="F93" s="6" t="n">
        <v>27323</v>
      </c>
      <c r="G93" s="4" t="s">
        <v>292</v>
      </c>
      <c r="H93" s="5" t="s">
        <v>160</v>
      </c>
      <c r="I93" s="5" t="s">
        <v>287</v>
      </c>
      <c r="J93" s="5"/>
    </row>
    <row r="94" customFormat="false" ht="17.15" hidden="false" customHeight="false" outlineLevel="0" collapsed="false">
      <c r="A94" s="7" t="s">
        <v>185</v>
      </c>
      <c r="B94" s="4" t="s">
        <v>282</v>
      </c>
      <c r="C94" s="5" t="s">
        <v>283</v>
      </c>
      <c r="D94" s="4" t="s">
        <v>299</v>
      </c>
      <c r="E94" s="4" t="s">
        <v>300</v>
      </c>
      <c r="F94" s="6" t="n">
        <v>14147</v>
      </c>
      <c r="G94" s="4" t="s">
        <v>286</v>
      </c>
      <c r="H94" s="5" t="s">
        <v>160</v>
      </c>
      <c r="I94" s="5" t="s">
        <v>287</v>
      </c>
      <c r="J94" s="5"/>
    </row>
    <row r="95" customFormat="false" ht="17.15" hidden="false" customHeight="false" outlineLevel="0" collapsed="false">
      <c r="A95" s="7" t="s">
        <v>185</v>
      </c>
      <c r="B95" s="4" t="s">
        <v>282</v>
      </c>
      <c r="C95" s="5" t="s">
        <v>283</v>
      </c>
      <c r="D95" s="4" t="s">
        <v>301</v>
      </c>
      <c r="E95" s="4" t="s">
        <v>302</v>
      </c>
      <c r="F95" s="6" t="n">
        <v>6946</v>
      </c>
      <c r="G95" s="4" t="s">
        <v>286</v>
      </c>
      <c r="H95" s="5" t="s">
        <v>160</v>
      </c>
      <c r="I95" s="5" t="s">
        <v>287</v>
      </c>
      <c r="J95" s="5"/>
    </row>
    <row r="96" customFormat="false" ht="17.15" hidden="false" customHeight="false" outlineLevel="0" collapsed="false">
      <c r="A96" s="7" t="s">
        <v>185</v>
      </c>
      <c r="B96" s="4" t="s">
        <v>282</v>
      </c>
      <c r="C96" s="5" t="s">
        <v>283</v>
      </c>
      <c r="D96" s="4" t="s">
        <v>303</v>
      </c>
      <c r="E96" s="4" t="s">
        <v>304</v>
      </c>
      <c r="F96" s="6" t="n">
        <v>4913</v>
      </c>
      <c r="G96" s="4" t="s">
        <v>305</v>
      </c>
      <c r="H96" s="5" t="s">
        <v>160</v>
      </c>
      <c r="I96" s="5" t="s">
        <v>287</v>
      </c>
      <c r="J96" s="5"/>
    </row>
    <row r="97" customFormat="false" ht="17.15" hidden="false" customHeight="false" outlineLevel="0" collapsed="false">
      <c r="A97" s="7" t="s">
        <v>185</v>
      </c>
      <c r="B97" s="4" t="s">
        <v>282</v>
      </c>
      <c r="C97" s="5" t="s">
        <v>283</v>
      </c>
      <c r="D97" s="4" t="s">
        <v>306</v>
      </c>
      <c r="E97" s="4" t="s">
        <v>307</v>
      </c>
      <c r="F97" s="6" t="n">
        <v>4371</v>
      </c>
      <c r="G97" s="4" t="s">
        <v>308</v>
      </c>
      <c r="H97" s="5" t="s">
        <v>160</v>
      </c>
      <c r="I97" s="5" t="s">
        <v>287</v>
      </c>
      <c r="J97" s="5"/>
    </row>
    <row r="98" customFormat="false" ht="17.15" hidden="false" customHeight="false" outlineLevel="0" collapsed="false">
      <c r="A98" s="7" t="s">
        <v>185</v>
      </c>
      <c r="B98" s="4" t="s">
        <v>282</v>
      </c>
      <c r="C98" s="5" t="s">
        <v>283</v>
      </c>
      <c r="D98" s="4" t="s">
        <v>309</v>
      </c>
      <c r="E98" s="4" t="s">
        <v>310</v>
      </c>
      <c r="F98" s="6" t="n">
        <v>2963</v>
      </c>
      <c r="G98" s="4" t="s">
        <v>311</v>
      </c>
      <c r="H98" s="5" t="s">
        <v>160</v>
      </c>
      <c r="I98" s="5" t="s">
        <v>287</v>
      </c>
      <c r="J98" s="5"/>
    </row>
    <row r="99" customFormat="false" ht="17.15" hidden="false" customHeight="false" outlineLevel="0" collapsed="false">
      <c r="A99" s="7" t="s">
        <v>185</v>
      </c>
      <c r="B99" s="4" t="s">
        <v>282</v>
      </c>
      <c r="C99" s="5" t="s">
        <v>283</v>
      </c>
      <c r="D99" s="4" t="s">
        <v>312</v>
      </c>
      <c r="E99" s="4" t="s">
        <v>313</v>
      </c>
      <c r="F99" s="6" t="n">
        <v>1437</v>
      </c>
      <c r="G99" s="4" t="s">
        <v>314</v>
      </c>
      <c r="H99" s="5" t="s">
        <v>160</v>
      </c>
      <c r="I99" s="5" t="s">
        <v>287</v>
      </c>
      <c r="J99" s="5"/>
    </row>
    <row r="100" customFormat="false" ht="17.15" hidden="false" customHeight="false" outlineLevel="0" collapsed="false">
      <c r="A100" s="7" t="s">
        <v>185</v>
      </c>
      <c r="B100" s="4" t="s">
        <v>282</v>
      </c>
      <c r="C100" s="5" t="s">
        <v>283</v>
      </c>
      <c r="D100" s="4" t="s">
        <v>315</v>
      </c>
      <c r="E100" s="4" t="s">
        <v>316</v>
      </c>
      <c r="F100" s="6" t="n">
        <v>1412</v>
      </c>
      <c r="G100" s="4" t="s">
        <v>317</v>
      </c>
      <c r="H100" s="5" t="s">
        <v>160</v>
      </c>
      <c r="I100" s="5" t="s">
        <v>287</v>
      </c>
      <c r="J100" s="5"/>
    </row>
    <row r="101" customFormat="false" ht="17.15" hidden="false" customHeight="false" outlineLevel="0" collapsed="false">
      <c r="A101" s="7" t="s">
        <v>185</v>
      </c>
      <c r="B101" s="4" t="s">
        <v>282</v>
      </c>
      <c r="C101" s="5" t="s">
        <v>283</v>
      </c>
      <c r="D101" s="4" t="s">
        <v>318</v>
      </c>
      <c r="E101" s="4" t="s">
        <v>319</v>
      </c>
      <c r="F101" s="6" t="n">
        <v>1293</v>
      </c>
      <c r="G101" s="4" t="s">
        <v>320</v>
      </c>
      <c r="H101" s="5" t="s">
        <v>160</v>
      </c>
      <c r="I101" s="5" t="s">
        <v>287</v>
      </c>
      <c r="J101" s="5"/>
    </row>
    <row r="102" customFormat="false" ht="17.15" hidden="false" customHeight="false" outlineLevel="0" collapsed="false">
      <c r="A102" s="7" t="s">
        <v>185</v>
      </c>
      <c r="B102" s="4" t="s">
        <v>282</v>
      </c>
      <c r="C102" s="5" t="s">
        <v>283</v>
      </c>
      <c r="D102" s="4" t="s">
        <v>321</v>
      </c>
      <c r="E102" s="4" t="s">
        <v>322</v>
      </c>
      <c r="F102" s="6" t="n">
        <v>1056</v>
      </c>
      <c r="G102" s="4" t="s">
        <v>292</v>
      </c>
      <c r="H102" s="5" t="s">
        <v>160</v>
      </c>
      <c r="I102" s="5" t="s">
        <v>287</v>
      </c>
      <c r="J102" s="5"/>
    </row>
    <row r="103" customFormat="false" ht="17.15" hidden="false" customHeight="false" outlineLevel="0" collapsed="false">
      <c r="A103" s="7" t="s">
        <v>185</v>
      </c>
      <c r="B103" s="4" t="s">
        <v>282</v>
      </c>
      <c r="C103" s="5" t="s">
        <v>283</v>
      </c>
      <c r="D103" s="4" t="s">
        <v>323</v>
      </c>
      <c r="E103" s="4" t="s">
        <v>324</v>
      </c>
      <c r="F103" s="6" t="n">
        <v>982</v>
      </c>
      <c r="G103" s="4" t="s">
        <v>325</v>
      </c>
      <c r="H103" s="5" t="s">
        <v>160</v>
      </c>
      <c r="I103" s="5" t="s">
        <v>287</v>
      </c>
      <c r="J103" s="5"/>
    </row>
    <row r="104" customFormat="false" ht="17.15" hidden="false" customHeight="false" outlineLevel="0" collapsed="false">
      <c r="A104" s="7" t="s">
        <v>185</v>
      </c>
      <c r="B104" s="4" t="s">
        <v>282</v>
      </c>
      <c r="C104" s="5" t="s">
        <v>283</v>
      </c>
      <c r="D104" s="4" t="s">
        <v>326</v>
      </c>
      <c r="E104" s="4" t="s">
        <v>327</v>
      </c>
      <c r="F104" s="6" t="n">
        <v>500</v>
      </c>
      <c r="G104" s="4" t="s">
        <v>328</v>
      </c>
      <c r="H104" s="5" t="s">
        <v>160</v>
      </c>
      <c r="I104" s="5" t="s">
        <v>329</v>
      </c>
      <c r="J104" s="5"/>
    </row>
    <row r="105" customFormat="false" ht="17.15" hidden="false" customHeight="false" outlineLevel="0" collapsed="false">
      <c r="A105" s="7" t="s">
        <v>185</v>
      </c>
      <c r="B105" s="4" t="s">
        <v>282</v>
      </c>
      <c r="C105" s="5" t="s">
        <v>283</v>
      </c>
      <c r="D105" s="4" t="s">
        <v>330</v>
      </c>
      <c r="E105" s="4" t="s">
        <v>331</v>
      </c>
      <c r="F105" s="6" t="n">
        <v>435</v>
      </c>
      <c r="G105" s="4" t="s">
        <v>332</v>
      </c>
      <c r="H105" s="5" t="s">
        <v>160</v>
      </c>
      <c r="I105" s="5" t="s">
        <v>329</v>
      </c>
      <c r="J105" s="5"/>
    </row>
    <row r="106" customFormat="false" ht="17.15" hidden="false" customHeight="false" outlineLevel="0" collapsed="false">
      <c r="A106" s="7" t="s">
        <v>185</v>
      </c>
      <c r="B106" s="4" t="s">
        <v>282</v>
      </c>
      <c r="C106" s="5" t="s">
        <v>283</v>
      </c>
      <c r="D106" s="4" t="s">
        <v>333</v>
      </c>
      <c r="E106" s="4" t="s">
        <v>334</v>
      </c>
      <c r="F106" s="6" t="n">
        <v>326</v>
      </c>
      <c r="G106" s="4" t="s">
        <v>335</v>
      </c>
      <c r="H106" s="5" t="s">
        <v>160</v>
      </c>
      <c r="I106" s="5" t="s">
        <v>287</v>
      </c>
      <c r="J106" s="5"/>
    </row>
    <row r="107" customFormat="false" ht="17.15" hidden="false" customHeight="false" outlineLevel="0" collapsed="false">
      <c r="A107" s="7" t="s">
        <v>185</v>
      </c>
      <c r="B107" s="4" t="s">
        <v>282</v>
      </c>
      <c r="C107" s="5" t="s">
        <v>283</v>
      </c>
      <c r="D107" s="4" t="s">
        <v>336</v>
      </c>
      <c r="E107" s="4" t="s">
        <v>337</v>
      </c>
      <c r="F107" s="6" t="n">
        <v>287</v>
      </c>
      <c r="G107" s="4" t="s">
        <v>338</v>
      </c>
      <c r="H107" s="5" t="s">
        <v>160</v>
      </c>
      <c r="I107" s="5" t="s">
        <v>329</v>
      </c>
      <c r="J107" s="5"/>
    </row>
    <row r="108" customFormat="false" ht="17.15" hidden="false" customHeight="false" outlineLevel="0" collapsed="false">
      <c r="A108" s="7" t="s">
        <v>185</v>
      </c>
      <c r="B108" s="4" t="s">
        <v>282</v>
      </c>
      <c r="C108" s="5" t="s">
        <v>283</v>
      </c>
      <c r="D108" s="4" t="s">
        <v>339</v>
      </c>
      <c r="E108" s="4" t="s">
        <v>340</v>
      </c>
      <c r="F108" s="6" t="n">
        <v>139</v>
      </c>
      <c r="G108" s="4" t="s">
        <v>341</v>
      </c>
      <c r="H108" s="5" t="s">
        <v>160</v>
      </c>
      <c r="I108" s="5" t="s">
        <v>329</v>
      </c>
      <c r="J108" s="5"/>
    </row>
    <row r="109" customFormat="false" ht="17.15" hidden="false" customHeight="false" outlineLevel="0" collapsed="false">
      <c r="A109" s="7" t="s">
        <v>185</v>
      </c>
      <c r="B109" s="4" t="s">
        <v>282</v>
      </c>
      <c r="C109" s="5" t="s">
        <v>283</v>
      </c>
      <c r="D109" s="4" t="s">
        <v>342</v>
      </c>
      <c r="E109" s="4" t="s">
        <v>343</v>
      </c>
      <c r="F109" s="6" t="n">
        <v>131</v>
      </c>
      <c r="G109" s="4" t="s">
        <v>344</v>
      </c>
      <c r="H109" s="5" t="s">
        <v>160</v>
      </c>
      <c r="I109" s="5" t="s">
        <v>329</v>
      </c>
      <c r="J109" s="5"/>
    </row>
    <row r="110" customFormat="false" ht="17.15" hidden="false" customHeight="false" outlineLevel="0" collapsed="false">
      <c r="A110" s="7" t="s">
        <v>185</v>
      </c>
      <c r="B110" s="4" t="s">
        <v>282</v>
      </c>
      <c r="C110" s="5" t="s">
        <v>283</v>
      </c>
      <c r="D110" s="4" t="s">
        <v>345</v>
      </c>
      <c r="E110" s="4" t="s">
        <v>346</v>
      </c>
      <c r="F110" s="6" t="n">
        <v>85</v>
      </c>
      <c r="G110" s="4" t="s">
        <v>347</v>
      </c>
      <c r="H110" s="5" t="s">
        <v>160</v>
      </c>
      <c r="I110" s="5" t="s">
        <v>287</v>
      </c>
      <c r="J110" s="5"/>
    </row>
    <row r="111" customFormat="false" ht="17.15" hidden="false" customHeight="false" outlineLevel="0" collapsed="false">
      <c r="A111" s="7" t="s">
        <v>185</v>
      </c>
      <c r="B111" s="4" t="s">
        <v>282</v>
      </c>
      <c r="C111" s="5" t="s">
        <v>283</v>
      </c>
      <c r="D111" s="4" t="s">
        <v>348</v>
      </c>
      <c r="E111" s="4" t="s">
        <v>349</v>
      </c>
      <c r="F111" s="6" t="n">
        <v>70</v>
      </c>
      <c r="G111" s="4" t="s">
        <v>350</v>
      </c>
      <c r="H111" s="5" t="s">
        <v>160</v>
      </c>
      <c r="I111" s="5" t="s">
        <v>287</v>
      </c>
      <c r="J111" s="5"/>
    </row>
    <row r="112" customFormat="false" ht="17.15" hidden="false" customHeight="false" outlineLevel="0" collapsed="false">
      <c r="A112" s="7" t="s">
        <v>185</v>
      </c>
      <c r="B112" s="4" t="s">
        <v>351</v>
      </c>
      <c r="C112" s="5" t="s">
        <v>352</v>
      </c>
      <c r="D112" s="4" t="s">
        <v>353</v>
      </c>
      <c r="E112" s="4" t="s">
        <v>354</v>
      </c>
      <c r="F112" s="6" t="n">
        <v>38009</v>
      </c>
      <c r="G112" s="4" t="s">
        <v>355</v>
      </c>
      <c r="H112" s="5" t="s">
        <v>160</v>
      </c>
      <c r="I112" s="5" t="s">
        <v>329</v>
      </c>
      <c r="J112" s="4" t="s">
        <v>18</v>
      </c>
    </row>
    <row r="113" customFormat="false" ht="17.15" hidden="false" customHeight="false" outlineLevel="0" collapsed="false">
      <c r="A113" s="7" t="s">
        <v>185</v>
      </c>
      <c r="B113" s="4" t="s">
        <v>351</v>
      </c>
      <c r="C113" s="5" t="s">
        <v>352</v>
      </c>
      <c r="D113" s="4" t="s">
        <v>356</v>
      </c>
      <c r="E113" s="4" t="s">
        <v>357</v>
      </c>
      <c r="F113" s="6" t="n">
        <v>36019</v>
      </c>
      <c r="G113" s="4" t="s">
        <v>358</v>
      </c>
      <c r="H113" s="5" t="s">
        <v>160</v>
      </c>
      <c r="I113" s="5" t="s">
        <v>208</v>
      </c>
      <c r="J113" s="5"/>
    </row>
    <row r="114" customFormat="false" ht="17.15" hidden="false" customHeight="false" outlineLevel="0" collapsed="false">
      <c r="A114" s="7" t="s">
        <v>185</v>
      </c>
      <c r="B114" s="4" t="s">
        <v>351</v>
      </c>
      <c r="C114" s="5" t="s">
        <v>352</v>
      </c>
      <c r="D114" s="4" t="s">
        <v>359</v>
      </c>
      <c r="E114" s="4" t="s">
        <v>360</v>
      </c>
      <c r="F114" s="6" t="n">
        <v>34100</v>
      </c>
      <c r="G114" s="4" t="s">
        <v>361</v>
      </c>
      <c r="H114" s="5" t="s">
        <v>160</v>
      </c>
      <c r="I114" s="5" t="s">
        <v>287</v>
      </c>
      <c r="J114" s="5"/>
    </row>
    <row r="115" customFormat="false" ht="17.15" hidden="false" customHeight="false" outlineLevel="0" collapsed="false">
      <c r="A115" s="7" t="s">
        <v>185</v>
      </c>
      <c r="B115" s="4" t="s">
        <v>351</v>
      </c>
      <c r="C115" s="5" t="s">
        <v>352</v>
      </c>
      <c r="D115" s="4" t="s">
        <v>362</v>
      </c>
      <c r="E115" s="4" t="s">
        <v>363</v>
      </c>
      <c r="F115" s="6" t="n">
        <v>20947</v>
      </c>
      <c r="G115" s="4" t="s">
        <v>364</v>
      </c>
      <c r="H115" s="5" t="s">
        <v>160</v>
      </c>
      <c r="I115" s="5" t="s">
        <v>208</v>
      </c>
      <c r="J115" s="5"/>
    </row>
    <row r="116" customFormat="false" ht="17.15" hidden="false" customHeight="false" outlineLevel="0" collapsed="false">
      <c r="A116" s="7" t="s">
        <v>185</v>
      </c>
      <c r="B116" s="4" t="s">
        <v>351</v>
      </c>
      <c r="C116" s="5" t="s">
        <v>352</v>
      </c>
      <c r="D116" s="4" t="s">
        <v>365</v>
      </c>
      <c r="E116" s="4" t="s">
        <v>366</v>
      </c>
      <c r="F116" s="6" t="n">
        <v>18187</v>
      </c>
      <c r="G116" s="4" t="s">
        <v>367</v>
      </c>
      <c r="H116" s="5" t="s">
        <v>160</v>
      </c>
      <c r="I116" s="5" t="s">
        <v>208</v>
      </c>
      <c r="J116" s="5"/>
    </row>
    <row r="117" customFormat="false" ht="17.15" hidden="false" customHeight="false" outlineLevel="0" collapsed="false">
      <c r="A117" s="7" t="s">
        <v>185</v>
      </c>
      <c r="B117" s="4" t="s">
        <v>351</v>
      </c>
      <c r="C117" s="5" t="s">
        <v>352</v>
      </c>
      <c r="D117" s="4" t="s">
        <v>368</v>
      </c>
      <c r="E117" s="4" t="s">
        <v>369</v>
      </c>
      <c r="F117" s="6" t="n">
        <v>15914</v>
      </c>
      <c r="G117" s="4" t="s">
        <v>370</v>
      </c>
      <c r="H117" s="5" t="s">
        <v>160</v>
      </c>
      <c r="I117" s="5" t="s">
        <v>208</v>
      </c>
      <c r="J117" s="5"/>
    </row>
    <row r="118" customFormat="false" ht="17.15" hidden="false" customHeight="false" outlineLevel="0" collapsed="false">
      <c r="A118" s="7" t="s">
        <v>185</v>
      </c>
      <c r="B118" s="4" t="s">
        <v>351</v>
      </c>
      <c r="C118" s="5" t="s">
        <v>352</v>
      </c>
      <c r="D118" s="4" t="s">
        <v>371</v>
      </c>
      <c r="E118" s="4" t="s">
        <v>372</v>
      </c>
      <c r="F118" s="6" t="n">
        <v>14664</v>
      </c>
      <c r="G118" s="4" t="s">
        <v>373</v>
      </c>
      <c r="H118" s="5" t="s">
        <v>160</v>
      </c>
      <c r="I118" s="5" t="s">
        <v>208</v>
      </c>
      <c r="J118" s="5"/>
    </row>
    <row r="119" customFormat="false" ht="17.15" hidden="false" customHeight="false" outlineLevel="0" collapsed="false">
      <c r="A119" s="7" t="s">
        <v>185</v>
      </c>
      <c r="B119" s="4" t="s">
        <v>351</v>
      </c>
      <c r="C119" s="5" t="s">
        <v>352</v>
      </c>
      <c r="D119" s="4" t="s">
        <v>374</v>
      </c>
      <c r="E119" s="4" t="s">
        <v>375</v>
      </c>
      <c r="F119" s="6" t="n">
        <v>13631</v>
      </c>
      <c r="G119" s="4" t="s">
        <v>376</v>
      </c>
      <c r="H119" s="5" t="s">
        <v>160</v>
      </c>
      <c r="I119" s="5" t="s">
        <v>329</v>
      </c>
      <c r="J119" s="5"/>
    </row>
    <row r="120" customFormat="false" ht="17.15" hidden="false" customHeight="false" outlineLevel="0" collapsed="false">
      <c r="A120" s="7" t="s">
        <v>185</v>
      </c>
      <c r="B120" s="4" t="s">
        <v>351</v>
      </c>
      <c r="C120" s="5" t="s">
        <v>352</v>
      </c>
      <c r="D120" s="4" t="s">
        <v>377</v>
      </c>
      <c r="E120" s="4" t="s">
        <v>378</v>
      </c>
      <c r="F120" s="6" t="n">
        <v>13027</v>
      </c>
      <c r="G120" s="4" t="s">
        <v>379</v>
      </c>
      <c r="H120" s="5" t="s">
        <v>160</v>
      </c>
      <c r="I120" s="5" t="s">
        <v>329</v>
      </c>
      <c r="J120" s="5"/>
    </row>
    <row r="121" customFormat="false" ht="17.15" hidden="false" customHeight="false" outlineLevel="0" collapsed="false">
      <c r="A121" s="7" t="s">
        <v>185</v>
      </c>
      <c r="B121" s="4" t="s">
        <v>351</v>
      </c>
      <c r="C121" s="5" t="s">
        <v>352</v>
      </c>
      <c r="D121" s="4" t="s">
        <v>380</v>
      </c>
      <c r="E121" s="4" t="s">
        <v>381</v>
      </c>
      <c r="F121" s="6" t="n">
        <v>11487</v>
      </c>
      <c r="G121" s="4" t="s">
        <v>382</v>
      </c>
      <c r="H121" s="5" t="s">
        <v>160</v>
      </c>
      <c r="I121" s="5" t="s">
        <v>329</v>
      </c>
      <c r="J121" s="5"/>
    </row>
    <row r="122" customFormat="false" ht="17.15" hidden="false" customHeight="false" outlineLevel="0" collapsed="false">
      <c r="A122" s="7" t="s">
        <v>185</v>
      </c>
      <c r="B122" s="4" t="s">
        <v>351</v>
      </c>
      <c r="C122" s="5" t="s">
        <v>352</v>
      </c>
      <c r="D122" s="4" t="s">
        <v>383</v>
      </c>
      <c r="E122" s="4" t="s">
        <v>384</v>
      </c>
      <c r="F122" s="6" t="n">
        <v>11376</v>
      </c>
      <c r="G122" s="4" t="s">
        <v>385</v>
      </c>
      <c r="H122" s="5" t="s">
        <v>160</v>
      </c>
      <c r="I122" s="5" t="s">
        <v>208</v>
      </c>
      <c r="J122" s="5"/>
    </row>
    <row r="123" customFormat="false" ht="17.15" hidden="false" customHeight="false" outlineLevel="0" collapsed="false">
      <c r="A123" s="7" t="s">
        <v>185</v>
      </c>
      <c r="B123" s="4" t="s">
        <v>351</v>
      </c>
      <c r="C123" s="5" t="s">
        <v>352</v>
      </c>
      <c r="D123" s="4" t="s">
        <v>386</v>
      </c>
      <c r="E123" s="4" t="s">
        <v>387</v>
      </c>
      <c r="F123" s="6" t="n">
        <v>10744</v>
      </c>
      <c r="G123" s="4" t="s">
        <v>388</v>
      </c>
      <c r="H123" s="5" t="s">
        <v>160</v>
      </c>
      <c r="I123" s="5" t="s">
        <v>329</v>
      </c>
      <c r="J123" s="5"/>
    </row>
    <row r="124" customFormat="false" ht="17.15" hidden="false" customHeight="false" outlineLevel="0" collapsed="false">
      <c r="A124" s="7" t="s">
        <v>185</v>
      </c>
      <c r="B124" s="4" t="s">
        <v>351</v>
      </c>
      <c r="C124" s="5" t="s">
        <v>352</v>
      </c>
      <c r="D124" s="4" t="s">
        <v>389</v>
      </c>
      <c r="E124" s="4" t="s">
        <v>390</v>
      </c>
      <c r="F124" s="6" t="n">
        <v>9793</v>
      </c>
      <c r="G124" s="4" t="s">
        <v>391</v>
      </c>
      <c r="H124" s="5" t="s">
        <v>160</v>
      </c>
      <c r="I124" s="5" t="s">
        <v>208</v>
      </c>
      <c r="J124" s="5"/>
    </row>
    <row r="125" customFormat="false" ht="17.15" hidden="false" customHeight="false" outlineLevel="0" collapsed="false">
      <c r="A125" s="7" t="s">
        <v>185</v>
      </c>
      <c r="B125" s="4" t="s">
        <v>351</v>
      </c>
      <c r="C125" s="5" t="s">
        <v>352</v>
      </c>
      <c r="D125" s="4" t="s">
        <v>392</v>
      </c>
      <c r="E125" s="4" t="s">
        <v>393</v>
      </c>
      <c r="F125" s="6" t="n">
        <v>9716</v>
      </c>
      <c r="G125" s="4" t="s">
        <v>394</v>
      </c>
      <c r="H125" s="5" t="s">
        <v>160</v>
      </c>
      <c r="I125" s="5" t="s">
        <v>329</v>
      </c>
      <c r="J125" s="5"/>
    </row>
    <row r="126" customFormat="false" ht="17.15" hidden="false" customHeight="false" outlineLevel="0" collapsed="false">
      <c r="A126" s="7" t="s">
        <v>185</v>
      </c>
      <c r="B126" s="4" t="s">
        <v>351</v>
      </c>
      <c r="C126" s="5" t="s">
        <v>352</v>
      </c>
      <c r="D126" s="4" t="s">
        <v>395</v>
      </c>
      <c r="E126" s="4" t="s">
        <v>396</v>
      </c>
      <c r="F126" s="6" t="n">
        <v>9687</v>
      </c>
      <c r="G126" s="4" t="s">
        <v>397</v>
      </c>
      <c r="H126" s="5" t="s">
        <v>160</v>
      </c>
      <c r="I126" s="5" t="s">
        <v>208</v>
      </c>
      <c r="J126" s="5"/>
    </row>
    <row r="127" customFormat="false" ht="17.15" hidden="false" customHeight="false" outlineLevel="0" collapsed="false">
      <c r="A127" s="7" t="s">
        <v>185</v>
      </c>
      <c r="B127" s="4" t="s">
        <v>351</v>
      </c>
      <c r="C127" s="5" t="s">
        <v>352</v>
      </c>
      <c r="D127" s="4" t="s">
        <v>398</v>
      </c>
      <c r="E127" s="4" t="s">
        <v>399</v>
      </c>
      <c r="F127" s="6" t="n">
        <v>9671</v>
      </c>
      <c r="G127" s="4" t="s">
        <v>400</v>
      </c>
      <c r="H127" s="5" t="s">
        <v>160</v>
      </c>
      <c r="I127" s="5" t="s">
        <v>329</v>
      </c>
      <c r="J127" s="5"/>
    </row>
    <row r="128" customFormat="false" ht="17.15" hidden="false" customHeight="false" outlineLevel="0" collapsed="false">
      <c r="A128" s="7" t="s">
        <v>185</v>
      </c>
      <c r="B128" s="4" t="s">
        <v>351</v>
      </c>
      <c r="C128" s="5" t="s">
        <v>352</v>
      </c>
      <c r="D128" s="4" t="s">
        <v>401</v>
      </c>
      <c r="E128" s="4" t="s">
        <v>402</v>
      </c>
      <c r="F128" s="6" t="n">
        <v>8199</v>
      </c>
      <c r="G128" s="5" t="s">
        <v>403</v>
      </c>
      <c r="H128" s="5" t="s">
        <v>160</v>
      </c>
      <c r="I128" s="5" t="s">
        <v>208</v>
      </c>
      <c r="J128" s="5"/>
    </row>
    <row r="129" customFormat="false" ht="17.15" hidden="false" customHeight="false" outlineLevel="0" collapsed="false">
      <c r="A129" s="7" t="s">
        <v>185</v>
      </c>
      <c r="B129" s="4" t="s">
        <v>351</v>
      </c>
      <c r="C129" s="5" t="s">
        <v>352</v>
      </c>
      <c r="D129" s="4" t="s">
        <v>404</v>
      </c>
      <c r="E129" s="4" t="s">
        <v>405</v>
      </c>
      <c r="F129" s="6" t="n">
        <v>8188</v>
      </c>
      <c r="G129" s="4" t="s">
        <v>406</v>
      </c>
      <c r="H129" s="5" t="s">
        <v>160</v>
      </c>
      <c r="I129" s="5" t="s">
        <v>329</v>
      </c>
      <c r="J129" s="5"/>
    </row>
    <row r="130" customFormat="false" ht="17.15" hidden="false" customHeight="false" outlineLevel="0" collapsed="false">
      <c r="A130" s="7" t="s">
        <v>185</v>
      </c>
      <c r="B130" s="4" t="s">
        <v>351</v>
      </c>
      <c r="C130" s="5" t="s">
        <v>352</v>
      </c>
      <c r="D130" s="4" t="s">
        <v>407</v>
      </c>
      <c r="E130" s="4" t="s">
        <v>408</v>
      </c>
      <c r="F130" s="6" t="n">
        <v>7840</v>
      </c>
      <c r="G130" s="4" t="s">
        <v>409</v>
      </c>
      <c r="H130" s="5" t="s">
        <v>160</v>
      </c>
      <c r="I130" s="5" t="s">
        <v>208</v>
      </c>
      <c r="J130" s="5"/>
    </row>
    <row r="131" customFormat="false" ht="17.15" hidden="false" customHeight="false" outlineLevel="0" collapsed="false">
      <c r="A131" s="7" t="s">
        <v>185</v>
      </c>
      <c r="B131" s="4" t="s">
        <v>351</v>
      </c>
      <c r="C131" s="5" t="s">
        <v>352</v>
      </c>
      <c r="D131" s="4" t="s">
        <v>410</v>
      </c>
      <c r="E131" s="4" t="s">
        <v>411</v>
      </c>
      <c r="F131" s="6" t="n">
        <v>7809</v>
      </c>
      <c r="G131" s="4" t="s">
        <v>412</v>
      </c>
      <c r="H131" s="5" t="s">
        <v>160</v>
      </c>
      <c r="I131" s="5" t="s">
        <v>329</v>
      </c>
      <c r="J131" s="5"/>
    </row>
    <row r="132" customFormat="false" ht="17.15" hidden="false" customHeight="false" outlineLevel="0" collapsed="false">
      <c r="A132" s="7" t="s">
        <v>185</v>
      </c>
      <c r="B132" s="4" t="s">
        <v>351</v>
      </c>
      <c r="C132" s="5" t="s">
        <v>352</v>
      </c>
      <c r="D132" s="4" t="s">
        <v>413</v>
      </c>
      <c r="E132" s="4" t="s">
        <v>414</v>
      </c>
      <c r="F132" s="6" t="n">
        <v>1021</v>
      </c>
      <c r="G132" s="5" t="s">
        <v>415</v>
      </c>
      <c r="H132" s="5" t="s">
        <v>160</v>
      </c>
      <c r="I132" s="5" t="s">
        <v>208</v>
      </c>
      <c r="J132" s="5"/>
    </row>
    <row r="133" customFormat="false" ht="17.15" hidden="false" customHeight="false" outlineLevel="0" collapsed="false">
      <c r="A133" s="7" t="s">
        <v>185</v>
      </c>
      <c r="B133" s="4" t="s">
        <v>351</v>
      </c>
      <c r="C133" s="5" t="s">
        <v>352</v>
      </c>
      <c r="D133" s="4" t="s">
        <v>416</v>
      </c>
      <c r="E133" s="4" t="s">
        <v>417</v>
      </c>
      <c r="F133" s="6" t="n">
        <v>648</v>
      </c>
      <c r="G133" s="4" t="s">
        <v>418</v>
      </c>
      <c r="H133" s="5" t="s">
        <v>160</v>
      </c>
      <c r="I133" s="5" t="s">
        <v>329</v>
      </c>
      <c r="J133" s="5"/>
    </row>
    <row r="134" customFormat="false" ht="17.15" hidden="false" customHeight="false" outlineLevel="0" collapsed="false">
      <c r="A134" s="7" t="s">
        <v>185</v>
      </c>
      <c r="B134" s="4" t="s">
        <v>351</v>
      </c>
      <c r="C134" s="5" t="s">
        <v>352</v>
      </c>
      <c r="D134" s="4" t="s">
        <v>419</v>
      </c>
      <c r="E134" s="4" t="s">
        <v>420</v>
      </c>
      <c r="F134" s="6" t="n">
        <v>316</v>
      </c>
      <c r="G134" s="4" t="s">
        <v>421</v>
      </c>
      <c r="H134" s="5" t="s">
        <v>160</v>
      </c>
      <c r="I134" s="5" t="s">
        <v>329</v>
      </c>
      <c r="J134" s="5"/>
    </row>
    <row r="135" customFormat="false" ht="17.15" hidden="false" customHeight="false" outlineLevel="0" collapsed="false">
      <c r="A135" s="7" t="s">
        <v>185</v>
      </c>
      <c r="B135" s="4" t="s">
        <v>351</v>
      </c>
      <c r="C135" s="5" t="s">
        <v>352</v>
      </c>
      <c r="D135" s="4" t="s">
        <v>422</v>
      </c>
      <c r="E135" s="4" t="s">
        <v>423</v>
      </c>
      <c r="F135" s="6" t="n">
        <v>200</v>
      </c>
      <c r="G135" s="4" t="s">
        <v>424</v>
      </c>
      <c r="H135" s="5" t="s">
        <v>160</v>
      </c>
      <c r="I135" s="5" t="s">
        <v>329</v>
      </c>
      <c r="J135" s="5"/>
    </row>
    <row r="136" customFormat="false" ht="17.15" hidden="false" customHeight="false" outlineLevel="0" collapsed="false">
      <c r="A136" s="7" t="s">
        <v>185</v>
      </c>
      <c r="B136" s="4" t="s">
        <v>425</v>
      </c>
      <c r="C136" s="5" t="s">
        <v>426</v>
      </c>
      <c r="D136" s="4" t="s">
        <v>427</v>
      </c>
      <c r="E136" s="4" t="s">
        <v>428</v>
      </c>
      <c r="F136" s="6" t="n">
        <v>9134</v>
      </c>
      <c r="G136" s="4" t="s">
        <v>429</v>
      </c>
      <c r="H136" s="5" t="s">
        <v>160</v>
      </c>
      <c r="I136" s="5" t="s">
        <v>287</v>
      </c>
      <c r="J136" s="4" t="s">
        <v>18</v>
      </c>
    </row>
    <row r="137" customFormat="false" ht="17.15" hidden="false" customHeight="false" outlineLevel="0" collapsed="false">
      <c r="A137" s="7" t="s">
        <v>185</v>
      </c>
      <c r="B137" s="4" t="s">
        <v>425</v>
      </c>
      <c r="C137" s="5" t="s">
        <v>426</v>
      </c>
      <c r="D137" s="4" t="s">
        <v>430</v>
      </c>
      <c r="E137" s="4" t="s">
        <v>431</v>
      </c>
      <c r="F137" s="6" t="n">
        <v>2825</v>
      </c>
      <c r="G137" s="4" t="s">
        <v>432</v>
      </c>
      <c r="H137" s="5" t="s">
        <v>160</v>
      </c>
      <c r="I137" s="5" t="s">
        <v>287</v>
      </c>
      <c r="J137" s="5"/>
    </row>
    <row r="138" customFormat="false" ht="17.15" hidden="false" customHeight="false" outlineLevel="0" collapsed="false">
      <c r="A138" s="7" t="s">
        <v>185</v>
      </c>
      <c r="B138" s="4" t="s">
        <v>425</v>
      </c>
      <c r="C138" s="5" t="s">
        <v>426</v>
      </c>
      <c r="D138" s="4" t="s">
        <v>433</v>
      </c>
      <c r="E138" s="4" t="s">
        <v>434</v>
      </c>
      <c r="F138" s="6" t="n">
        <v>2068</v>
      </c>
      <c r="G138" s="4" t="s">
        <v>435</v>
      </c>
      <c r="H138" s="5" t="s">
        <v>160</v>
      </c>
      <c r="I138" s="5" t="s">
        <v>287</v>
      </c>
      <c r="J138" s="5"/>
    </row>
    <row r="139" customFormat="false" ht="17.15" hidden="false" customHeight="false" outlineLevel="0" collapsed="false">
      <c r="A139" s="7" t="s">
        <v>185</v>
      </c>
      <c r="B139" s="4" t="s">
        <v>425</v>
      </c>
      <c r="C139" s="5" t="s">
        <v>426</v>
      </c>
      <c r="D139" s="4" t="s">
        <v>436</v>
      </c>
      <c r="E139" s="4" t="s">
        <v>437</v>
      </c>
      <c r="F139" s="6" t="n">
        <v>1627</v>
      </c>
      <c r="G139" s="4" t="s">
        <v>429</v>
      </c>
      <c r="H139" s="5" t="s">
        <v>160</v>
      </c>
      <c r="I139" s="5" t="s">
        <v>287</v>
      </c>
      <c r="J139" s="5"/>
    </row>
    <row r="140" customFormat="false" ht="17.15" hidden="false" customHeight="false" outlineLevel="0" collapsed="false">
      <c r="A140" s="7" t="s">
        <v>185</v>
      </c>
      <c r="B140" s="4" t="s">
        <v>425</v>
      </c>
      <c r="C140" s="5" t="s">
        <v>426</v>
      </c>
      <c r="D140" s="4" t="s">
        <v>438</v>
      </c>
      <c r="E140" s="4" t="s">
        <v>439</v>
      </c>
      <c r="F140" s="6" t="n">
        <v>1575</v>
      </c>
      <c r="G140" s="4" t="s">
        <v>432</v>
      </c>
      <c r="H140" s="5" t="s">
        <v>160</v>
      </c>
      <c r="I140" s="5" t="s">
        <v>287</v>
      </c>
      <c r="J140" s="5"/>
    </row>
    <row r="141" customFormat="false" ht="17.15" hidden="false" customHeight="false" outlineLevel="0" collapsed="false">
      <c r="A141" s="7" t="s">
        <v>185</v>
      </c>
      <c r="B141" s="4" t="s">
        <v>425</v>
      </c>
      <c r="C141" s="5" t="s">
        <v>426</v>
      </c>
      <c r="D141" s="4" t="s">
        <v>440</v>
      </c>
      <c r="E141" s="4" t="s">
        <v>441</v>
      </c>
      <c r="F141" s="6" t="n">
        <v>1301</v>
      </c>
      <c r="G141" s="4" t="s">
        <v>432</v>
      </c>
      <c r="H141" s="5" t="s">
        <v>160</v>
      </c>
      <c r="I141" s="5" t="s">
        <v>287</v>
      </c>
      <c r="J141" s="5"/>
    </row>
    <row r="142" customFormat="false" ht="17.15" hidden="false" customHeight="false" outlineLevel="0" collapsed="false">
      <c r="A142" s="7" t="s">
        <v>185</v>
      </c>
      <c r="B142" s="4" t="s">
        <v>425</v>
      </c>
      <c r="C142" s="5" t="s">
        <v>426</v>
      </c>
      <c r="D142" s="4" t="s">
        <v>442</v>
      </c>
      <c r="E142" s="4" t="s">
        <v>443</v>
      </c>
      <c r="F142" s="6" t="n">
        <v>437</v>
      </c>
      <c r="G142" s="4" t="s">
        <v>444</v>
      </c>
      <c r="H142" s="5" t="s">
        <v>160</v>
      </c>
      <c r="I142" s="5" t="s">
        <v>287</v>
      </c>
      <c r="J142" s="5"/>
    </row>
    <row r="143" customFormat="false" ht="17.15" hidden="false" customHeight="false" outlineLevel="0" collapsed="false">
      <c r="A143" s="7" t="s">
        <v>185</v>
      </c>
      <c r="B143" s="4" t="s">
        <v>425</v>
      </c>
      <c r="C143" s="5" t="s">
        <v>426</v>
      </c>
      <c r="D143" s="4" t="s">
        <v>445</v>
      </c>
      <c r="E143" s="4" t="s">
        <v>446</v>
      </c>
      <c r="F143" s="6" t="n">
        <v>400</v>
      </c>
      <c r="G143" s="4" t="s">
        <v>444</v>
      </c>
      <c r="H143" s="5" t="s">
        <v>160</v>
      </c>
      <c r="I143" s="5" t="s">
        <v>287</v>
      </c>
      <c r="J143" s="5"/>
    </row>
    <row r="144" customFormat="false" ht="17.15" hidden="false" customHeight="false" outlineLevel="0" collapsed="false">
      <c r="A144" s="7" t="s">
        <v>185</v>
      </c>
      <c r="B144" s="4" t="s">
        <v>425</v>
      </c>
      <c r="C144" s="5" t="s">
        <v>426</v>
      </c>
      <c r="D144" s="4" t="s">
        <v>447</v>
      </c>
      <c r="E144" s="4" t="s">
        <v>448</v>
      </c>
      <c r="F144" s="6" t="n">
        <v>172</v>
      </c>
      <c r="G144" s="4" t="s">
        <v>444</v>
      </c>
      <c r="H144" s="5" t="s">
        <v>160</v>
      </c>
      <c r="I144" s="5" t="s">
        <v>287</v>
      </c>
      <c r="J144" s="5"/>
    </row>
    <row r="145" customFormat="false" ht="17.15" hidden="false" customHeight="false" outlineLevel="0" collapsed="false">
      <c r="A145" s="7" t="s">
        <v>185</v>
      </c>
      <c r="B145" s="4" t="s">
        <v>425</v>
      </c>
      <c r="C145" s="5" t="s">
        <v>426</v>
      </c>
      <c r="D145" s="4" t="s">
        <v>449</v>
      </c>
      <c r="E145" s="4" t="s">
        <v>450</v>
      </c>
      <c r="F145" s="6" t="n">
        <v>119</v>
      </c>
      <c r="G145" s="4" t="s">
        <v>451</v>
      </c>
      <c r="H145" s="5" t="s">
        <v>160</v>
      </c>
      <c r="I145" s="5" t="s">
        <v>287</v>
      </c>
      <c r="J145" s="5"/>
    </row>
    <row r="146" customFormat="false" ht="17.15" hidden="false" customHeight="false" outlineLevel="0" collapsed="false">
      <c r="A146" s="7" t="s">
        <v>185</v>
      </c>
      <c r="B146" s="4" t="s">
        <v>452</v>
      </c>
      <c r="C146" s="5" t="s">
        <v>453</v>
      </c>
      <c r="D146" s="4" t="s">
        <v>454</v>
      </c>
      <c r="E146" s="4" t="s">
        <v>455</v>
      </c>
      <c r="F146" s="6" t="n">
        <v>4279</v>
      </c>
      <c r="G146" s="4" t="s">
        <v>456</v>
      </c>
      <c r="H146" s="5" t="s">
        <v>160</v>
      </c>
      <c r="I146" s="5" t="s">
        <v>287</v>
      </c>
      <c r="J146" s="4" t="s">
        <v>18</v>
      </c>
    </row>
    <row r="147" customFormat="false" ht="17.15" hidden="false" customHeight="false" outlineLevel="0" collapsed="false">
      <c r="A147" s="7" t="s">
        <v>185</v>
      </c>
      <c r="B147" s="4" t="s">
        <v>452</v>
      </c>
      <c r="C147" s="5" t="s">
        <v>453</v>
      </c>
      <c r="D147" s="4" t="s">
        <v>457</v>
      </c>
      <c r="E147" s="4" t="s">
        <v>458</v>
      </c>
      <c r="F147" s="6" t="n">
        <v>4103</v>
      </c>
      <c r="G147" s="4" t="s">
        <v>459</v>
      </c>
      <c r="H147" s="5" t="s">
        <v>160</v>
      </c>
      <c r="I147" s="5" t="s">
        <v>287</v>
      </c>
      <c r="J147" s="5"/>
    </row>
    <row r="148" customFormat="false" ht="17.15" hidden="false" customHeight="false" outlineLevel="0" collapsed="false">
      <c r="A148" s="7" t="s">
        <v>185</v>
      </c>
      <c r="B148" s="4" t="s">
        <v>452</v>
      </c>
      <c r="C148" s="5" t="s">
        <v>453</v>
      </c>
      <c r="D148" s="4" t="s">
        <v>460</v>
      </c>
      <c r="E148" s="4" t="s">
        <v>461</v>
      </c>
      <c r="F148" s="6" t="n">
        <v>3951</v>
      </c>
      <c r="G148" s="4" t="s">
        <v>459</v>
      </c>
      <c r="H148" s="5" t="s">
        <v>160</v>
      </c>
      <c r="I148" s="5" t="s">
        <v>287</v>
      </c>
      <c r="J148" s="5"/>
    </row>
    <row r="149" customFormat="false" ht="17.15" hidden="false" customHeight="false" outlineLevel="0" collapsed="false">
      <c r="A149" s="7" t="s">
        <v>185</v>
      </c>
      <c r="B149" s="4" t="s">
        <v>452</v>
      </c>
      <c r="C149" s="5" t="s">
        <v>453</v>
      </c>
      <c r="D149" s="4" t="s">
        <v>462</v>
      </c>
      <c r="E149" s="4" t="s">
        <v>463</v>
      </c>
      <c r="F149" s="6" t="n">
        <v>3155</v>
      </c>
      <c r="G149" s="4" t="s">
        <v>464</v>
      </c>
      <c r="H149" s="5" t="s">
        <v>160</v>
      </c>
      <c r="I149" s="5" t="s">
        <v>287</v>
      </c>
      <c r="J149" s="5"/>
    </row>
    <row r="150" customFormat="false" ht="17.15" hidden="false" customHeight="false" outlineLevel="0" collapsed="false">
      <c r="A150" s="7" t="s">
        <v>185</v>
      </c>
      <c r="B150" s="4" t="s">
        <v>452</v>
      </c>
      <c r="C150" s="5" t="s">
        <v>453</v>
      </c>
      <c r="D150" s="4" t="s">
        <v>465</v>
      </c>
      <c r="E150" s="4" t="s">
        <v>466</v>
      </c>
      <c r="F150" s="6" t="n">
        <v>2215</v>
      </c>
      <c r="G150" s="4" t="s">
        <v>459</v>
      </c>
      <c r="H150" s="5" t="s">
        <v>160</v>
      </c>
      <c r="I150" s="5" t="s">
        <v>287</v>
      </c>
      <c r="J150" s="5"/>
    </row>
    <row r="151" customFormat="false" ht="17.15" hidden="false" customHeight="false" outlineLevel="0" collapsed="false">
      <c r="A151" s="7" t="s">
        <v>185</v>
      </c>
      <c r="B151" s="4" t="s">
        <v>452</v>
      </c>
      <c r="C151" s="5" t="s">
        <v>453</v>
      </c>
      <c r="D151" s="4" t="s">
        <v>467</v>
      </c>
      <c r="E151" s="4" t="s">
        <v>468</v>
      </c>
      <c r="F151" s="6" t="n">
        <v>920</v>
      </c>
      <c r="G151" s="4" t="s">
        <v>469</v>
      </c>
      <c r="H151" s="5" t="s">
        <v>160</v>
      </c>
      <c r="I151" s="5" t="s">
        <v>287</v>
      </c>
      <c r="J151" s="5"/>
    </row>
    <row r="152" customFormat="false" ht="17.15" hidden="false" customHeight="false" outlineLevel="0" collapsed="false">
      <c r="A152" s="7" t="s">
        <v>185</v>
      </c>
      <c r="B152" s="4" t="s">
        <v>452</v>
      </c>
      <c r="C152" s="5" t="s">
        <v>453</v>
      </c>
      <c r="D152" s="4" t="s">
        <v>470</v>
      </c>
      <c r="E152" s="4" t="s">
        <v>471</v>
      </c>
      <c r="F152" s="6" t="n">
        <v>624</v>
      </c>
      <c r="G152" s="4" t="s">
        <v>472</v>
      </c>
      <c r="H152" s="5" t="s">
        <v>160</v>
      </c>
      <c r="I152" s="5" t="s">
        <v>287</v>
      </c>
      <c r="J152" s="5"/>
    </row>
    <row r="153" customFormat="false" ht="17.15" hidden="false" customHeight="false" outlineLevel="0" collapsed="false">
      <c r="A153" s="7" t="s">
        <v>185</v>
      </c>
      <c r="B153" s="4" t="s">
        <v>452</v>
      </c>
      <c r="C153" s="5" t="s">
        <v>453</v>
      </c>
      <c r="D153" s="4" t="s">
        <v>473</v>
      </c>
      <c r="E153" s="4" t="s">
        <v>474</v>
      </c>
      <c r="F153" s="6" t="n">
        <v>359</v>
      </c>
      <c r="G153" s="4" t="s">
        <v>456</v>
      </c>
      <c r="H153" s="5" t="s">
        <v>160</v>
      </c>
      <c r="I153" s="5" t="s">
        <v>287</v>
      </c>
      <c r="J153" s="5"/>
    </row>
    <row r="154" customFormat="false" ht="17.15" hidden="false" customHeight="false" outlineLevel="0" collapsed="false">
      <c r="A154" s="7" t="s">
        <v>185</v>
      </c>
      <c r="B154" s="4" t="s">
        <v>452</v>
      </c>
      <c r="C154" s="5" t="s">
        <v>453</v>
      </c>
      <c r="D154" s="4" t="s">
        <v>475</v>
      </c>
      <c r="E154" s="4" t="s">
        <v>476</v>
      </c>
      <c r="F154" s="6" t="n">
        <v>354</v>
      </c>
      <c r="G154" s="4" t="s">
        <v>477</v>
      </c>
      <c r="H154" s="5" t="s">
        <v>160</v>
      </c>
      <c r="I154" s="5" t="s">
        <v>287</v>
      </c>
      <c r="J154" s="5"/>
    </row>
    <row r="155" customFormat="false" ht="17.15" hidden="false" customHeight="false" outlineLevel="0" collapsed="false">
      <c r="A155" s="7" t="s">
        <v>185</v>
      </c>
      <c r="B155" s="4" t="s">
        <v>452</v>
      </c>
      <c r="C155" s="5" t="s">
        <v>453</v>
      </c>
      <c r="D155" s="4" t="s">
        <v>478</v>
      </c>
      <c r="E155" s="4" t="s">
        <v>479</v>
      </c>
      <c r="F155" s="6" t="n">
        <v>345</v>
      </c>
      <c r="G155" s="4" t="s">
        <v>480</v>
      </c>
      <c r="H155" s="5" t="s">
        <v>160</v>
      </c>
      <c r="I155" s="5" t="s">
        <v>287</v>
      </c>
      <c r="J155" s="5"/>
    </row>
    <row r="156" customFormat="false" ht="17.15" hidden="false" customHeight="false" outlineLevel="0" collapsed="false">
      <c r="A156" s="7" t="s">
        <v>185</v>
      </c>
      <c r="B156" s="4" t="s">
        <v>452</v>
      </c>
      <c r="C156" s="5" t="s">
        <v>453</v>
      </c>
      <c r="D156" s="4" t="s">
        <v>481</v>
      </c>
      <c r="E156" s="4" t="s">
        <v>482</v>
      </c>
      <c r="F156" s="6" t="n">
        <v>244</v>
      </c>
      <c r="G156" s="4" t="s">
        <v>483</v>
      </c>
      <c r="H156" s="5" t="s">
        <v>160</v>
      </c>
      <c r="I156" s="5" t="s">
        <v>287</v>
      </c>
      <c r="J156" s="5"/>
    </row>
    <row r="157" customFormat="false" ht="17.15" hidden="false" customHeight="false" outlineLevel="0" collapsed="false">
      <c r="A157" s="7" t="s">
        <v>185</v>
      </c>
      <c r="B157" s="4" t="s">
        <v>452</v>
      </c>
      <c r="C157" s="5" t="s">
        <v>453</v>
      </c>
      <c r="D157" s="4" t="s">
        <v>484</v>
      </c>
      <c r="E157" s="4" t="s">
        <v>485</v>
      </c>
      <c r="F157" s="6" t="n">
        <v>171</v>
      </c>
      <c r="G157" s="4" t="s">
        <v>486</v>
      </c>
      <c r="H157" s="5" t="s">
        <v>160</v>
      </c>
      <c r="I157" s="5" t="s">
        <v>287</v>
      </c>
      <c r="J157" s="5"/>
    </row>
    <row r="158" customFormat="false" ht="17.15" hidden="false" customHeight="false" outlineLevel="0" collapsed="false">
      <c r="A158" s="7" t="s">
        <v>185</v>
      </c>
      <c r="B158" s="4" t="s">
        <v>452</v>
      </c>
      <c r="C158" s="5" t="s">
        <v>453</v>
      </c>
      <c r="D158" s="4" t="s">
        <v>487</v>
      </c>
      <c r="E158" s="4" t="s">
        <v>488</v>
      </c>
      <c r="F158" s="6" t="n">
        <v>159</v>
      </c>
      <c r="G158" s="4" t="s">
        <v>489</v>
      </c>
      <c r="H158" s="5" t="s">
        <v>160</v>
      </c>
      <c r="I158" s="5" t="s">
        <v>287</v>
      </c>
      <c r="J158" s="5"/>
    </row>
    <row r="159" customFormat="false" ht="17.15" hidden="false" customHeight="false" outlineLevel="0" collapsed="false">
      <c r="A159" s="7" t="s">
        <v>185</v>
      </c>
      <c r="B159" s="4" t="s">
        <v>452</v>
      </c>
      <c r="C159" s="5" t="s">
        <v>453</v>
      </c>
      <c r="D159" s="4" t="s">
        <v>490</v>
      </c>
      <c r="E159" s="4" t="s">
        <v>491</v>
      </c>
      <c r="F159" s="6" t="n">
        <v>113</v>
      </c>
      <c r="G159" s="4" t="s">
        <v>492</v>
      </c>
      <c r="H159" s="5" t="s">
        <v>160</v>
      </c>
      <c r="I159" s="5" t="s">
        <v>287</v>
      </c>
      <c r="J159" s="5"/>
    </row>
    <row r="160" customFormat="false" ht="17.15" hidden="false" customHeight="false" outlineLevel="0" collapsed="false">
      <c r="A160" s="7" t="s">
        <v>185</v>
      </c>
      <c r="B160" s="4" t="s">
        <v>452</v>
      </c>
      <c r="C160" s="5" t="s">
        <v>453</v>
      </c>
      <c r="D160" s="4" t="s">
        <v>493</v>
      </c>
      <c r="E160" s="4" t="s">
        <v>494</v>
      </c>
      <c r="F160" s="6" t="n">
        <v>109</v>
      </c>
      <c r="G160" s="4" t="s">
        <v>477</v>
      </c>
      <c r="H160" s="5" t="s">
        <v>160</v>
      </c>
      <c r="I160" s="5" t="s">
        <v>287</v>
      </c>
      <c r="J160" s="5"/>
    </row>
    <row r="161" customFormat="false" ht="17.15" hidden="false" customHeight="false" outlineLevel="0" collapsed="false">
      <c r="A161" s="7" t="s">
        <v>185</v>
      </c>
      <c r="B161" s="4" t="s">
        <v>452</v>
      </c>
      <c r="C161" s="5" t="s">
        <v>453</v>
      </c>
      <c r="D161" s="4" t="s">
        <v>495</v>
      </c>
      <c r="E161" s="4" t="s">
        <v>496</v>
      </c>
      <c r="F161" s="6" t="n">
        <v>104</v>
      </c>
      <c r="G161" s="4" t="s">
        <v>497</v>
      </c>
      <c r="H161" s="5" t="s">
        <v>160</v>
      </c>
      <c r="I161" s="5" t="s">
        <v>287</v>
      </c>
      <c r="J161" s="5"/>
    </row>
    <row r="162" customFormat="false" ht="17.15" hidden="false" customHeight="false" outlineLevel="0" collapsed="false">
      <c r="A162" s="7" t="s">
        <v>185</v>
      </c>
      <c r="B162" s="4" t="s">
        <v>452</v>
      </c>
      <c r="C162" s="5" t="s">
        <v>453</v>
      </c>
      <c r="D162" s="4" t="s">
        <v>498</v>
      </c>
      <c r="E162" s="4" t="s">
        <v>499</v>
      </c>
      <c r="F162" s="6" t="n">
        <v>66</v>
      </c>
      <c r="G162" s="5" t="s">
        <v>500</v>
      </c>
      <c r="H162" s="5" t="s">
        <v>160</v>
      </c>
      <c r="I162" s="5" t="s">
        <v>208</v>
      </c>
      <c r="J162" s="5"/>
    </row>
    <row r="163" customFormat="false" ht="17.15" hidden="false" customHeight="false" outlineLevel="0" collapsed="false">
      <c r="A163" s="7" t="s">
        <v>185</v>
      </c>
      <c r="B163" s="4" t="s">
        <v>452</v>
      </c>
      <c r="C163" s="5" t="s">
        <v>453</v>
      </c>
      <c r="D163" s="4" t="s">
        <v>501</v>
      </c>
      <c r="E163" s="4" t="s">
        <v>502</v>
      </c>
      <c r="F163" s="6" t="n">
        <v>57</v>
      </c>
      <c r="G163" s="4" t="s">
        <v>503</v>
      </c>
      <c r="H163" s="5" t="s">
        <v>160</v>
      </c>
      <c r="I163" s="5" t="s">
        <v>287</v>
      </c>
      <c r="J163" s="5"/>
    </row>
    <row r="164" customFormat="false" ht="17.15" hidden="false" customHeight="false" outlineLevel="0" collapsed="false">
      <c r="A164" s="7" t="s">
        <v>185</v>
      </c>
      <c r="B164" s="4" t="s">
        <v>504</v>
      </c>
      <c r="C164" s="5" t="s">
        <v>505</v>
      </c>
      <c r="D164" s="4" t="s">
        <v>506</v>
      </c>
      <c r="E164" s="4" t="s">
        <v>507</v>
      </c>
      <c r="F164" s="6" t="n">
        <v>30379</v>
      </c>
      <c r="G164" s="4" t="s">
        <v>508</v>
      </c>
      <c r="H164" s="5" t="s">
        <v>160</v>
      </c>
      <c r="I164" s="5" t="s">
        <v>329</v>
      </c>
      <c r="J164" s="4" t="s">
        <v>18</v>
      </c>
    </row>
    <row r="165" customFormat="false" ht="17.15" hidden="false" customHeight="false" outlineLevel="0" collapsed="false">
      <c r="A165" s="7" t="s">
        <v>185</v>
      </c>
      <c r="B165" s="4" t="s">
        <v>504</v>
      </c>
      <c r="C165" s="5" t="s">
        <v>505</v>
      </c>
      <c r="D165" s="4" t="s">
        <v>509</v>
      </c>
      <c r="E165" s="4" t="s">
        <v>510</v>
      </c>
      <c r="F165" s="6" t="n">
        <v>23624</v>
      </c>
      <c r="G165" s="4" t="s">
        <v>511</v>
      </c>
      <c r="H165" s="5" t="s">
        <v>160</v>
      </c>
      <c r="I165" s="5" t="s">
        <v>208</v>
      </c>
      <c r="J165" s="5"/>
    </row>
    <row r="166" customFormat="false" ht="17.15" hidden="false" customHeight="false" outlineLevel="0" collapsed="false">
      <c r="A166" s="7" t="s">
        <v>185</v>
      </c>
      <c r="B166" s="4" t="s">
        <v>504</v>
      </c>
      <c r="C166" s="5" t="s">
        <v>505</v>
      </c>
      <c r="D166" s="4" t="s">
        <v>512</v>
      </c>
      <c r="E166" s="4" t="s">
        <v>513</v>
      </c>
      <c r="F166" s="6" t="n">
        <v>9364</v>
      </c>
      <c r="G166" s="4" t="s">
        <v>514</v>
      </c>
      <c r="H166" s="5" t="s">
        <v>160</v>
      </c>
      <c r="I166" s="5" t="s">
        <v>208</v>
      </c>
      <c r="J166" s="5"/>
    </row>
    <row r="167" customFormat="false" ht="17.15" hidden="false" customHeight="false" outlineLevel="0" collapsed="false">
      <c r="A167" s="7" t="s">
        <v>185</v>
      </c>
      <c r="B167" s="4" t="s">
        <v>504</v>
      </c>
      <c r="C167" s="5" t="s">
        <v>505</v>
      </c>
      <c r="D167" s="4" t="s">
        <v>515</v>
      </c>
      <c r="E167" s="4" t="s">
        <v>516</v>
      </c>
      <c r="F167" s="6" t="n">
        <v>9140</v>
      </c>
      <c r="G167" s="4" t="s">
        <v>508</v>
      </c>
      <c r="H167" s="5" t="s">
        <v>160</v>
      </c>
      <c r="I167" s="5" t="s">
        <v>329</v>
      </c>
      <c r="J167" s="5"/>
    </row>
    <row r="168" customFormat="false" ht="17.15" hidden="false" customHeight="false" outlineLevel="0" collapsed="false">
      <c r="A168" s="7" t="s">
        <v>185</v>
      </c>
      <c r="B168" s="4" t="s">
        <v>504</v>
      </c>
      <c r="C168" s="5" t="s">
        <v>505</v>
      </c>
      <c r="D168" s="4" t="s">
        <v>517</v>
      </c>
      <c r="E168" s="4" t="s">
        <v>518</v>
      </c>
      <c r="F168" s="6" t="n">
        <v>7817</v>
      </c>
      <c r="G168" s="4" t="s">
        <v>508</v>
      </c>
      <c r="H168" s="5" t="s">
        <v>160</v>
      </c>
      <c r="I168" s="5" t="s">
        <v>329</v>
      </c>
      <c r="J168" s="5"/>
    </row>
    <row r="169" customFormat="false" ht="17.15" hidden="false" customHeight="false" outlineLevel="0" collapsed="false">
      <c r="A169" s="7" t="s">
        <v>185</v>
      </c>
      <c r="B169" s="4" t="s">
        <v>504</v>
      </c>
      <c r="C169" s="5" t="s">
        <v>505</v>
      </c>
      <c r="D169" s="4" t="s">
        <v>519</v>
      </c>
      <c r="E169" s="4" t="s">
        <v>520</v>
      </c>
      <c r="F169" s="6" t="n">
        <v>2026</v>
      </c>
      <c r="G169" s="4" t="s">
        <v>508</v>
      </c>
      <c r="H169" s="5" t="s">
        <v>160</v>
      </c>
      <c r="I169" s="5" t="s">
        <v>329</v>
      </c>
      <c r="J169" s="5"/>
    </row>
    <row r="170" customFormat="false" ht="17.15" hidden="false" customHeight="false" outlineLevel="0" collapsed="false">
      <c r="A170" s="7" t="s">
        <v>185</v>
      </c>
      <c r="B170" s="4" t="s">
        <v>504</v>
      </c>
      <c r="C170" s="5" t="s">
        <v>505</v>
      </c>
      <c r="D170" s="4" t="s">
        <v>521</v>
      </c>
      <c r="E170" s="4" t="s">
        <v>522</v>
      </c>
      <c r="F170" s="6" t="n">
        <v>1556</v>
      </c>
      <c r="G170" s="4" t="s">
        <v>523</v>
      </c>
      <c r="H170" s="5" t="s">
        <v>160</v>
      </c>
      <c r="I170" s="5" t="s">
        <v>329</v>
      </c>
      <c r="J170" s="5"/>
    </row>
    <row r="171" customFormat="false" ht="17.15" hidden="false" customHeight="false" outlineLevel="0" collapsed="false">
      <c r="A171" s="7" t="s">
        <v>185</v>
      </c>
      <c r="B171" s="4" t="s">
        <v>504</v>
      </c>
      <c r="C171" s="5" t="s">
        <v>505</v>
      </c>
      <c r="D171" s="4" t="s">
        <v>524</v>
      </c>
      <c r="E171" s="4" t="s">
        <v>525</v>
      </c>
      <c r="F171" s="6" t="n">
        <v>643</v>
      </c>
      <c r="G171" s="4" t="s">
        <v>526</v>
      </c>
      <c r="H171" s="5" t="s">
        <v>160</v>
      </c>
      <c r="I171" s="5" t="s">
        <v>329</v>
      </c>
      <c r="J171" s="5"/>
    </row>
    <row r="172" customFormat="false" ht="17.15" hidden="false" customHeight="false" outlineLevel="0" collapsed="false">
      <c r="A172" s="7" t="s">
        <v>185</v>
      </c>
      <c r="B172" s="4" t="s">
        <v>504</v>
      </c>
      <c r="C172" s="5" t="s">
        <v>505</v>
      </c>
      <c r="D172" s="4" t="s">
        <v>527</v>
      </c>
      <c r="E172" s="4" t="s">
        <v>528</v>
      </c>
      <c r="F172" s="6" t="n">
        <v>325</v>
      </c>
      <c r="G172" s="4" t="s">
        <v>529</v>
      </c>
      <c r="H172" s="5" t="s">
        <v>160</v>
      </c>
      <c r="I172" s="5" t="s">
        <v>329</v>
      </c>
      <c r="J172" s="5"/>
    </row>
    <row r="173" customFormat="false" ht="17.15" hidden="false" customHeight="false" outlineLevel="0" collapsed="false">
      <c r="A173" s="7" t="s">
        <v>185</v>
      </c>
      <c r="B173" s="4" t="s">
        <v>504</v>
      </c>
      <c r="C173" s="5" t="s">
        <v>505</v>
      </c>
      <c r="D173" s="4" t="s">
        <v>530</v>
      </c>
      <c r="E173" s="4" t="s">
        <v>531</v>
      </c>
      <c r="F173" s="6" t="n">
        <v>316</v>
      </c>
      <c r="G173" s="5" t="s">
        <v>532</v>
      </c>
      <c r="H173" s="5" t="s">
        <v>160</v>
      </c>
      <c r="I173" s="5" t="s">
        <v>208</v>
      </c>
      <c r="J173" s="5"/>
    </row>
    <row r="174" customFormat="false" ht="17.15" hidden="false" customHeight="false" outlineLevel="0" collapsed="false">
      <c r="A174" s="7" t="s">
        <v>185</v>
      </c>
      <c r="B174" s="4" t="s">
        <v>504</v>
      </c>
      <c r="C174" s="5" t="s">
        <v>505</v>
      </c>
      <c r="D174" s="4" t="s">
        <v>533</v>
      </c>
      <c r="E174" s="4" t="s">
        <v>534</v>
      </c>
      <c r="F174" s="6" t="n">
        <v>296</v>
      </c>
      <c r="G174" s="4" t="s">
        <v>535</v>
      </c>
      <c r="H174" s="5" t="s">
        <v>160</v>
      </c>
      <c r="I174" s="5" t="s">
        <v>329</v>
      </c>
      <c r="J174" s="5"/>
    </row>
    <row r="175" customFormat="false" ht="17.15" hidden="false" customHeight="false" outlineLevel="0" collapsed="false">
      <c r="A175" s="7" t="s">
        <v>185</v>
      </c>
      <c r="B175" s="4" t="s">
        <v>504</v>
      </c>
      <c r="C175" s="5" t="s">
        <v>505</v>
      </c>
      <c r="D175" s="4" t="s">
        <v>536</v>
      </c>
      <c r="E175" s="4" t="s">
        <v>537</v>
      </c>
      <c r="F175" s="6" t="n">
        <v>245</v>
      </c>
      <c r="G175" s="4" t="s">
        <v>538</v>
      </c>
      <c r="H175" s="5" t="s">
        <v>160</v>
      </c>
      <c r="I175" s="5" t="s">
        <v>329</v>
      </c>
      <c r="J175" s="5"/>
    </row>
    <row r="176" customFormat="false" ht="17.15" hidden="false" customHeight="false" outlineLevel="0" collapsed="false">
      <c r="A176" s="7" t="s">
        <v>185</v>
      </c>
      <c r="B176" s="4" t="s">
        <v>504</v>
      </c>
      <c r="C176" s="5" t="s">
        <v>505</v>
      </c>
      <c r="D176" s="4" t="s">
        <v>539</v>
      </c>
      <c r="E176" s="4" t="s">
        <v>540</v>
      </c>
      <c r="F176" s="6" t="n">
        <v>176</v>
      </c>
      <c r="G176" s="4" t="s">
        <v>541</v>
      </c>
      <c r="H176" s="5" t="s">
        <v>160</v>
      </c>
      <c r="I176" s="5" t="s">
        <v>329</v>
      </c>
      <c r="J176" s="5"/>
    </row>
    <row r="177" customFormat="false" ht="17.15" hidden="false" customHeight="false" outlineLevel="0" collapsed="false">
      <c r="A177" s="7" t="s">
        <v>185</v>
      </c>
      <c r="B177" s="4" t="s">
        <v>504</v>
      </c>
      <c r="C177" s="5" t="s">
        <v>505</v>
      </c>
      <c r="D177" s="4" t="s">
        <v>542</v>
      </c>
      <c r="E177" s="4" t="s">
        <v>543</v>
      </c>
      <c r="F177" s="6" t="n">
        <v>162</v>
      </c>
      <c r="G177" s="4" t="s">
        <v>544</v>
      </c>
      <c r="H177" s="5" t="s">
        <v>160</v>
      </c>
      <c r="I177" s="5" t="s">
        <v>329</v>
      </c>
      <c r="J177" s="5"/>
    </row>
    <row r="178" customFormat="false" ht="17.15" hidden="false" customHeight="false" outlineLevel="0" collapsed="false">
      <c r="A178" s="7" t="s">
        <v>185</v>
      </c>
      <c r="B178" s="4" t="s">
        <v>504</v>
      </c>
      <c r="C178" s="5" t="s">
        <v>505</v>
      </c>
      <c r="D178" s="4" t="s">
        <v>545</v>
      </c>
      <c r="E178" s="4" t="s">
        <v>546</v>
      </c>
      <c r="F178" s="6" t="n">
        <v>94</v>
      </c>
      <c r="G178" s="4" t="s">
        <v>547</v>
      </c>
      <c r="H178" s="5" t="s">
        <v>160</v>
      </c>
      <c r="I178" s="5" t="s">
        <v>208</v>
      </c>
      <c r="J178" s="5"/>
    </row>
    <row r="179" customFormat="false" ht="17.15" hidden="false" customHeight="false" outlineLevel="0" collapsed="false">
      <c r="A179" s="7" t="s">
        <v>185</v>
      </c>
      <c r="B179" s="4" t="s">
        <v>504</v>
      </c>
      <c r="C179" s="5" t="s">
        <v>505</v>
      </c>
      <c r="D179" s="4" t="s">
        <v>548</v>
      </c>
      <c r="E179" s="4" t="s">
        <v>549</v>
      </c>
      <c r="F179" s="6" t="n">
        <v>88</v>
      </c>
      <c r="G179" s="4" t="s">
        <v>550</v>
      </c>
      <c r="H179" s="5" t="s">
        <v>160</v>
      </c>
      <c r="I179" s="5" t="s">
        <v>208</v>
      </c>
      <c r="J179" s="5"/>
    </row>
    <row r="180" customFormat="false" ht="17.15" hidden="false" customHeight="false" outlineLevel="0" collapsed="false">
      <c r="A180" s="7" t="s">
        <v>185</v>
      </c>
      <c r="B180" s="4" t="s">
        <v>504</v>
      </c>
      <c r="C180" s="5" t="s">
        <v>505</v>
      </c>
      <c r="D180" s="4" t="s">
        <v>551</v>
      </c>
      <c r="E180" s="4" t="s">
        <v>552</v>
      </c>
      <c r="F180" s="6" t="n">
        <v>42</v>
      </c>
      <c r="G180" s="5" t="s">
        <v>553</v>
      </c>
      <c r="H180" s="5" t="s">
        <v>160</v>
      </c>
      <c r="I180" s="5" t="s">
        <v>208</v>
      </c>
      <c r="J180" s="5"/>
    </row>
    <row r="181" customFormat="false" ht="17.15" hidden="false" customHeight="false" outlineLevel="0" collapsed="false">
      <c r="A181" s="7" t="s">
        <v>185</v>
      </c>
      <c r="B181" s="4" t="s">
        <v>554</v>
      </c>
      <c r="C181" s="5" t="s">
        <v>555</v>
      </c>
      <c r="D181" s="4" t="s">
        <v>556</v>
      </c>
      <c r="E181" s="4" t="s">
        <v>557</v>
      </c>
      <c r="F181" s="6" t="n">
        <v>1666</v>
      </c>
      <c r="G181" s="4" t="s">
        <v>558</v>
      </c>
      <c r="H181" s="5" t="s">
        <v>160</v>
      </c>
      <c r="I181" s="5" t="s">
        <v>329</v>
      </c>
      <c r="J181" s="4" t="s">
        <v>18</v>
      </c>
    </row>
    <row r="182" customFormat="false" ht="17.15" hidden="false" customHeight="false" outlineLevel="0" collapsed="false">
      <c r="A182" s="7" t="s">
        <v>185</v>
      </c>
      <c r="B182" s="4" t="s">
        <v>554</v>
      </c>
      <c r="C182" s="5" t="s">
        <v>555</v>
      </c>
      <c r="D182" s="4" t="s">
        <v>559</v>
      </c>
      <c r="E182" s="4" t="s">
        <v>560</v>
      </c>
      <c r="F182" s="6" t="n">
        <v>332</v>
      </c>
      <c r="G182" s="4" t="s">
        <v>561</v>
      </c>
      <c r="H182" s="5" t="s">
        <v>160</v>
      </c>
      <c r="I182" s="5" t="s">
        <v>329</v>
      </c>
      <c r="J182" s="5"/>
    </row>
    <row r="183" customFormat="false" ht="17.15" hidden="false" customHeight="false" outlineLevel="0" collapsed="false">
      <c r="A183" s="7" t="s">
        <v>185</v>
      </c>
      <c r="B183" s="4" t="s">
        <v>562</v>
      </c>
      <c r="C183" s="5" t="s">
        <v>563</v>
      </c>
      <c r="D183" s="4" t="s">
        <v>564</v>
      </c>
      <c r="E183" s="4" t="s">
        <v>565</v>
      </c>
      <c r="F183" s="6" t="n">
        <v>1428</v>
      </c>
      <c r="G183" s="4" t="s">
        <v>566</v>
      </c>
      <c r="H183" s="5" t="s">
        <v>160</v>
      </c>
      <c r="I183" s="4" t="s">
        <v>161</v>
      </c>
      <c r="J183" s="4" t="s">
        <v>18</v>
      </c>
    </row>
    <row r="184" customFormat="false" ht="17.15" hidden="false" customHeight="false" outlineLevel="0" collapsed="false">
      <c r="A184" s="7" t="s">
        <v>185</v>
      </c>
      <c r="B184" s="4" t="s">
        <v>562</v>
      </c>
      <c r="C184" s="5" t="s">
        <v>563</v>
      </c>
      <c r="D184" s="4" t="s">
        <v>567</v>
      </c>
      <c r="E184" s="4" t="s">
        <v>568</v>
      </c>
      <c r="F184" s="6" t="n">
        <v>410</v>
      </c>
      <c r="G184" s="4" t="s">
        <v>569</v>
      </c>
      <c r="H184" s="5" t="s">
        <v>160</v>
      </c>
      <c r="I184" s="5" t="s">
        <v>329</v>
      </c>
      <c r="J184" s="5"/>
    </row>
    <row r="185" customFormat="false" ht="17.15" hidden="false" customHeight="false" outlineLevel="0" collapsed="false">
      <c r="A185" s="7" t="s">
        <v>185</v>
      </c>
      <c r="B185" s="4" t="s">
        <v>562</v>
      </c>
      <c r="C185" s="5" t="s">
        <v>563</v>
      </c>
      <c r="D185" s="4" t="s">
        <v>570</v>
      </c>
      <c r="E185" s="4" t="s">
        <v>571</v>
      </c>
      <c r="F185" s="6" t="n">
        <v>288</v>
      </c>
      <c r="G185" s="5" t="s">
        <v>572</v>
      </c>
      <c r="H185" s="5" t="s">
        <v>160</v>
      </c>
      <c r="I185" s="5" t="s">
        <v>208</v>
      </c>
      <c r="J185" s="5"/>
    </row>
    <row r="186" customFormat="false" ht="17.15" hidden="false" customHeight="false" outlineLevel="0" collapsed="false">
      <c r="A186" s="7" t="s">
        <v>185</v>
      </c>
      <c r="B186" s="4" t="s">
        <v>562</v>
      </c>
      <c r="C186" s="5" t="s">
        <v>563</v>
      </c>
      <c r="D186" s="4" t="s">
        <v>573</v>
      </c>
      <c r="E186" s="4" t="s">
        <v>574</v>
      </c>
      <c r="F186" s="6" t="n">
        <v>252</v>
      </c>
      <c r="G186" s="4" t="s">
        <v>575</v>
      </c>
      <c r="H186" s="5" t="s">
        <v>160</v>
      </c>
      <c r="I186" s="4" t="s">
        <v>161</v>
      </c>
      <c r="J186" s="5"/>
    </row>
    <row r="187" customFormat="false" ht="17.15" hidden="false" customHeight="false" outlineLevel="0" collapsed="false">
      <c r="A187" s="7" t="s">
        <v>185</v>
      </c>
      <c r="B187" s="4" t="s">
        <v>576</v>
      </c>
      <c r="C187" s="5" t="s">
        <v>577</v>
      </c>
      <c r="D187" s="4" t="s">
        <v>578</v>
      </c>
      <c r="E187" s="4" t="s">
        <v>579</v>
      </c>
      <c r="F187" s="6" t="n">
        <v>1160</v>
      </c>
      <c r="G187" s="4" t="s">
        <v>580</v>
      </c>
      <c r="H187" s="5" t="s">
        <v>16</v>
      </c>
      <c r="I187" s="5" t="s">
        <v>133</v>
      </c>
      <c r="J187" s="4" t="s">
        <v>18</v>
      </c>
    </row>
    <row r="188" customFormat="false" ht="17.15" hidden="false" customHeight="false" outlineLevel="0" collapsed="false">
      <c r="A188" s="7" t="s">
        <v>185</v>
      </c>
      <c r="B188" s="4" t="s">
        <v>576</v>
      </c>
      <c r="C188" s="5" t="s">
        <v>577</v>
      </c>
      <c r="D188" s="4" t="s">
        <v>581</v>
      </c>
      <c r="E188" s="4" t="s">
        <v>582</v>
      </c>
      <c r="F188" s="6" t="n">
        <v>528</v>
      </c>
      <c r="G188" s="4" t="s">
        <v>583</v>
      </c>
      <c r="H188" s="5" t="s">
        <v>16</v>
      </c>
      <c r="I188" s="5" t="s">
        <v>133</v>
      </c>
      <c r="J188" s="5"/>
    </row>
    <row r="189" customFormat="false" ht="17.15" hidden="false" customHeight="false" outlineLevel="0" collapsed="false">
      <c r="A189" s="7" t="s">
        <v>185</v>
      </c>
      <c r="B189" s="4" t="s">
        <v>576</v>
      </c>
      <c r="C189" s="5" t="s">
        <v>577</v>
      </c>
      <c r="D189" s="4" t="s">
        <v>584</v>
      </c>
      <c r="E189" s="4" t="s">
        <v>585</v>
      </c>
      <c r="F189" s="6" t="n">
        <v>82</v>
      </c>
      <c r="G189" s="4" t="s">
        <v>586</v>
      </c>
      <c r="H189" s="5" t="s">
        <v>16</v>
      </c>
      <c r="I189" s="5" t="s">
        <v>133</v>
      </c>
      <c r="J189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6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9"/>
    <col collapsed="false" customWidth="true" hidden="false" outlineLevel="0" max="7" min="7" style="0" width="30"/>
  </cols>
  <sheetData>
    <row r="1" customFormat="false" ht="17.15" hidden="false" customHeight="false" outlineLevel="0" collapsed="false">
      <c r="A1" s="1" t="s">
        <v>1</v>
      </c>
      <c r="B1" s="1" t="s">
        <v>2</v>
      </c>
      <c r="C1" s="1" t="s">
        <v>0</v>
      </c>
      <c r="D1" s="1" t="s">
        <v>587</v>
      </c>
      <c r="E1" s="2" t="s">
        <v>588</v>
      </c>
      <c r="F1" s="2" t="s">
        <v>589</v>
      </c>
      <c r="G1" s="1" t="s">
        <v>9</v>
      </c>
    </row>
    <row r="2" customFormat="false" ht="17.15" hidden="false" customHeight="false" outlineLevel="0" collapsed="false">
      <c r="A2" s="8" t="s">
        <v>11</v>
      </c>
      <c r="B2" s="3" t="s">
        <v>12</v>
      </c>
      <c r="C2" s="3" t="s">
        <v>10</v>
      </c>
      <c r="D2" s="3" t="n">
        <f aca="false">COUNTIF(버킷분류!B2:B189,A2)</f>
        <v>14</v>
      </c>
      <c r="E2" s="3" t="n">
        <f aca="false">SUMIF(버킷분류!B2:B189,A2,버킷분류!F2:F189)</f>
        <v>273467</v>
      </c>
      <c r="F2" s="9" t="n">
        <f aca="false">E2/$E$17</f>
        <v>0.133868054297757</v>
      </c>
      <c r="G2" s="8" t="s">
        <v>14</v>
      </c>
    </row>
    <row r="3" customFormat="false" ht="17.15" hidden="false" customHeight="false" outlineLevel="0" collapsed="false">
      <c r="A3" s="8" t="s">
        <v>61</v>
      </c>
      <c r="B3" s="3" t="s">
        <v>62</v>
      </c>
      <c r="C3" s="3" t="s">
        <v>10</v>
      </c>
      <c r="D3" s="3" t="n">
        <f aca="false">COUNTIF(버킷분류!B2:B189,A3)</f>
        <v>17</v>
      </c>
      <c r="E3" s="3" t="n">
        <f aca="false">SUMIF(버킷분류!B2:B189,A3,버킷분류!F2:F189)</f>
        <v>102228</v>
      </c>
      <c r="F3" s="9" t="n">
        <f aca="false">E3/$E$17</f>
        <v>0.0500428331562896</v>
      </c>
      <c r="G3" s="8" t="s">
        <v>64</v>
      </c>
    </row>
    <row r="4" customFormat="false" ht="17.15" hidden="false" customHeight="false" outlineLevel="0" collapsed="false">
      <c r="A4" s="8" t="s">
        <v>114</v>
      </c>
      <c r="B4" s="3" t="s">
        <v>115</v>
      </c>
      <c r="C4" s="3" t="s">
        <v>10</v>
      </c>
      <c r="D4" s="3" t="n">
        <f aca="false">COUNTIF(버킷분류!B2:B189,A4)</f>
        <v>13</v>
      </c>
      <c r="E4" s="3" t="n">
        <f aca="false">SUMIF(버킷분류!B2:B189,A4,버킷분류!F2:F189)</f>
        <v>45190</v>
      </c>
      <c r="F4" s="9" t="n">
        <f aca="false">E4/$E$17</f>
        <v>0.0221214895168909</v>
      </c>
      <c r="G4" s="8" t="s">
        <v>117</v>
      </c>
    </row>
    <row r="5" customFormat="false" ht="17.15" hidden="false" customHeight="false" outlineLevel="0" collapsed="false">
      <c r="A5" s="8" t="s">
        <v>155</v>
      </c>
      <c r="B5" s="3" t="s">
        <v>156</v>
      </c>
      <c r="C5" s="3" t="s">
        <v>10</v>
      </c>
      <c r="D5" s="3" t="n">
        <f aca="false">COUNTIF(버킷분류!B2:B189,A5)</f>
        <v>3</v>
      </c>
      <c r="E5" s="3" t="n">
        <f aca="false">SUMIF(버킷분류!B2:B189,A5,버킷분류!F2:F189)</f>
        <v>1485</v>
      </c>
      <c r="F5" s="9" t="n">
        <f aca="false">E5/$E$17</f>
        <v>0.000726939852458134</v>
      </c>
      <c r="G5" s="8" t="s">
        <v>158</v>
      </c>
    </row>
    <row r="6" customFormat="false" ht="17.15" hidden="false" customHeight="false" outlineLevel="0" collapsed="false">
      <c r="A6" s="8" t="s">
        <v>168</v>
      </c>
      <c r="B6" s="3" t="s">
        <v>169</v>
      </c>
      <c r="C6" s="3" t="s">
        <v>10</v>
      </c>
      <c r="D6" s="3" t="n">
        <f aca="false">COUNTIF(버킷분류!B2:B189,A6)</f>
        <v>5</v>
      </c>
      <c r="E6" s="3" t="n">
        <f aca="false">SUMIF(버킷분류!B2:B189,A6,버킷분류!F2:F189)</f>
        <v>72014</v>
      </c>
      <c r="F6" s="9" t="n">
        <f aca="false">E6/$E$17</f>
        <v>0.0352524219090371</v>
      </c>
      <c r="G6" s="8" t="s">
        <v>171</v>
      </c>
    </row>
    <row r="7" customFormat="false" ht="17.15" hidden="false" customHeight="false" outlineLevel="0" collapsed="false">
      <c r="A7" s="10" t="s">
        <v>186</v>
      </c>
      <c r="B7" s="7" t="s">
        <v>187</v>
      </c>
      <c r="C7" s="7" t="s">
        <v>185</v>
      </c>
      <c r="D7" s="7" t="n">
        <f aca="false">COUNTIF(버킷분류!B2:B189,A7)</f>
        <v>34</v>
      </c>
      <c r="E7" s="7" t="n">
        <f aca="false">SUMIF(버킷분류!B2:B189,A7,버킷분류!F2:F189)</f>
        <v>637558</v>
      </c>
      <c r="F7" s="11" t="n">
        <f aca="false">E7/$E$17</f>
        <v>0.31209853094512</v>
      </c>
      <c r="G7" s="10" t="s">
        <v>189</v>
      </c>
    </row>
    <row r="8" customFormat="false" ht="17.15" hidden="false" customHeight="false" outlineLevel="0" collapsed="false">
      <c r="A8" s="10" t="s">
        <v>282</v>
      </c>
      <c r="B8" s="7" t="s">
        <v>283</v>
      </c>
      <c r="C8" s="7" t="s">
        <v>185</v>
      </c>
      <c r="D8" s="7" t="n">
        <f aca="false">COUNTIF(버킷분류!B2:B189,A8)</f>
        <v>24</v>
      </c>
      <c r="E8" s="7" t="n">
        <f aca="false">SUMIF(버킷분류!B2:B189,A8,버킷분류!F2:F189)</f>
        <v>466250</v>
      </c>
      <c r="F8" s="11" t="n">
        <f aca="false">E8/$E$17</f>
        <v>0.228239532800407</v>
      </c>
      <c r="G8" s="10" t="s">
        <v>285</v>
      </c>
    </row>
    <row r="9" customFormat="false" ht="17.15" hidden="false" customHeight="false" outlineLevel="0" collapsed="false">
      <c r="A9" s="10" t="s">
        <v>351</v>
      </c>
      <c r="B9" s="7" t="s">
        <v>352</v>
      </c>
      <c r="C9" s="7" t="s">
        <v>185</v>
      </c>
      <c r="D9" s="7" t="n">
        <f aca="false">COUNTIF(버킷분류!B2:B189,A9)</f>
        <v>24</v>
      </c>
      <c r="E9" s="7" t="n">
        <f aca="false">SUMIF(버킷분류!B2:B189,A9,버킷분류!F2:F189)</f>
        <v>311193</v>
      </c>
      <c r="F9" s="11" t="n">
        <f aca="false">E9/$E$17</f>
        <v>0.152335753202696</v>
      </c>
      <c r="G9" s="10" t="s">
        <v>354</v>
      </c>
    </row>
    <row r="10" customFormat="false" ht="17.15" hidden="false" customHeight="false" outlineLevel="0" collapsed="false">
      <c r="A10" s="10" t="s">
        <v>425</v>
      </c>
      <c r="B10" s="7" t="s">
        <v>426</v>
      </c>
      <c r="C10" s="7" t="s">
        <v>185</v>
      </c>
      <c r="D10" s="7" t="n">
        <f aca="false">COUNTIF(버킷분류!B2:B189,A10)</f>
        <v>10</v>
      </c>
      <c r="E10" s="7" t="n">
        <f aca="false">SUMIF(버킷분류!B2:B189,A10,버킷분류!F2:F189)</f>
        <v>19658</v>
      </c>
      <c r="F10" s="11" t="n">
        <f aca="false">E10/$E$17</f>
        <v>0.00962301927247272</v>
      </c>
      <c r="G10" s="10" t="s">
        <v>428</v>
      </c>
    </row>
    <row r="11" customFormat="false" ht="17.15" hidden="false" customHeight="false" outlineLevel="0" collapsed="false">
      <c r="A11" s="10" t="s">
        <v>452</v>
      </c>
      <c r="B11" s="7" t="s">
        <v>453</v>
      </c>
      <c r="C11" s="7" t="s">
        <v>185</v>
      </c>
      <c r="D11" s="7" t="n">
        <f aca="false">COUNTIF(버킷분류!B2:B189,A11)</f>
        <v>18</v>
      </c>
      <c r="E11" s="7" t="n">
        <f aca="false">SUMIF(버킷분류!B2:B189,A11,버킷분류!F2:F189)</f>
        <v>21328</v>
      </c>
      <c r="F11" s="11" t="n">
        <f aca="false">E11/$E$17</f>
        <v>0.0104405206553718</v>
      </c>
      <c r="G11" s="10" t="s">
        <v>455</v>
      </c>
    </row>
    <row r="12" customFormat="false" ht="17.15" hidden="false" customHeight="false" outlineLevel="0" collapsed="false">
      <c r="A12" s="10" t="s">
        <v>504</v>
      </c>
      <c r="B12" s="7" t="s">
        <v>505</v>
      </c>
      <c r="C12" s="7" t="s">
        <v>185</v>
      </c>
      <c r="D12" s="7" t="n">
        <f aca="false">COUNTIF(버킷분류!B2:B189,A12)</f>
        <v>17</v>
      </c>
      <c r="E12" s="7" t="n">
        <f aca="false">SUMIF(버킷분류!B2:B189,A12,버킷분류!F2:F189)</f>
        <v>86293</v>
      </c>
      <c r="F12" s="11" t="n">
        <f aca="false">E12/$E$17</f>
        <v>0.042242303493717</v>
      </c>
      <c r="G12" s="10" t="s">
        <v>507</v>
      </c>
    </row>
    <row r="13" customFormat="false" ht="17.15" hidden="false" customHeight="false" outlineLevel="0" collapsed="false">
      <c r="A13" s="10" t="s">
        <v>554</v>
      </c>
      <c r="B13" s="7" t="s">
        <v>555</v>
      </c>
      <c r="C13" s="7" t="s">
        <v>185</v>
      </c>
      <c r="D13" s="7" t="n">
        <f aca="false">COUNTIF(버킷분류!B2:B189,A13)</f>
        <v>2</v>
      </c>
      <c r="E13" s="7" t="n">
        <f aca="false">SUMIF(버킷분류!B2:B189,A13,버킷분류!F2:F189)</f>
        <v>1998</v>
      </c>
      <c r="F13" s="11" t="n">
        <f aca="false">E13/$E$17</f>
        <v>0.000978064528761853</v>
      </c>
      <c r="G13" s="10" t="s">
        <v>557</v>
      </c>
    </row>
    <row r="14" customFormat="false" ht="17.15" hidden="false" customHeight="false" outlineLevel="0" collapsed="false">
      <c r="A14" s="10" t="s">
        <v>562</v>
      </c>
      <c r="B14" s="7" t="s">
        <v>563</v>
      </c>
      <c r="C14" s="7" t="s">
        <v>185</v>
      </c>
      <c r="D14" s="7" t="n">
        <f aca="false">COUNTIF(버킷분류!B2:B189,A14)</f>
        <v>4</v>
      </c>
      <c r="E14" s="7" t="n">
        <f aca="false">SUMIF(버킷분류!B2:B189,A14,버킷분류!F2:F189)</f>
        <v>2378</v>
      </c>
      <c r="F14" s="11" t="n">
        <f aca="false">E14/$E$17</f>
        <v>0.00116408280750535</v>
      </c>
      <c r="G14" s="10" t="s">
        <v>565</v>
      </c>
    </row>
    <row r="15" customFormat="false" ht="17.15" hidden="false" customHeight="false" outlineLevel="0" collapsed="false">
      <c r="A15" s="10" t="s">
        <v>576</v>
      </c>
      <c r="B15" s="7" t="s">
        <v>577</v>
      </c>
      <c r="C15" s="7" t="s">
        <v>185</v>
      </c>
      <c r="D15" s="7" t="n">
        <f aca="false">COUNTIF(버킷분류!B2:B189,A15)</f>
        <v>3</v>
      </c>
      <c r="E15" s="7" t="n">
        <f aca="false">SUMIF(버킷분류!B2:B189,A15,버킷분류!F2:F189)</f>
        <v>1770</v>
      </c>
      <c r="F15" s="11" t="n">
        <f aca="false">E15/$E$17</f>
        <v>0.000866453561515755</v>
      </c>
      <c r="G15" s="10" t="s">
        <v>579</v>
      </c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</row>
    <row r="17" customFormat="false" ht="15" hidden="false" customHeight="false" outlineLevel="0" collapsed="false">
      <c r="A17" s="5" t="s">
        <v>590</v>
      </c>
      <c r="B17" s="5"/>
      <c r="C17" s="5"/>
      <c r="D17" s="5" t="n">
        <f aca="false">SUM(D2:D15)</f>
        <v>188</v>
      </c>
      <c r="E17" s="6" t="n">
        <f aca="false">SUM(E2:E15)</f>
        <v>2042810</v>
      </c>
      <c r="F17" s="5"/>
      <c r="G17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2026-06-02T10:21:07Z</dcterms:created>
  <dc:creator>openpyxl</dc:creator>
  <dc:description/>
  <dc:language>en-US</dc:language>
  <cp:lastModifiedBy/>
  <dcterms:modified xsi:type="dcterms:W3CDTF">2026-06-02T10:21:07Z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